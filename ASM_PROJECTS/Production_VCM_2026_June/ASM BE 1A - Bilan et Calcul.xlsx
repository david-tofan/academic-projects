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enseignement.ad.inp-toulouse.fr\usersA7\rdt3826\Téléchargements\"/>
    </mc:Choice>
  </mc:AlternateContent>
  <xr:revisionPtr revIDLastSave="0" documentId="13_ncr:1_{9FB5EE45-5EF7-460B-89B8-A51733FD44EB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Bilan Matière - Solveur" sheetId="1" r:id="rId1"/>
    <sheet name="Bilan Matière - Tableau" sheetId="4" r:id="rId2"/>
    <sheet name="Réacteur - Isotherme" sheetId="2" r:id="rId3"/>
    <sheet name="Réacteur - Echange de Chaleur" sheetId="3" r:id="rId4"/>
    <sheet name="Colonne M&amp;T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7" i="5" l="1"/>
  <c r="J27" i="5" s="1"/>
  <c r="J26" i="5"/>
  <c r="L15" i="4"/>
  <c r="K15" i="4"/>
  <c r="J15" i="4"/>
  <c r="I15" i="4"/>
  <c r="H15" i="4"/>
  <c r="G15" i="4"/>
  <c r="F15" i="4"/>
  <c r="E15" i="4"/>
  <c r="D15" i="4"/>
  <c r="C15" i="4"/>
  <c r="N4" i="4"/>
  <c r="M4" i="4"/>
  <c r="L4" i="4"/>
  <c r="K4" i="4"/>
  <c r="J4" i="4"/>
  <c r="I4" i="4"/>
  <c r="H4" i="4"/>
  <c r="G4" i="4"/>
  <c r="E4" i="4"/>
  <c r="D4" i="4"/>
  <c r="C4" i="4"/>
  <c r="W136" i="1"/>
  <c r="V136" i="1"/>
  <c r="U136" i="1"/>
  <c r="T136" i="1"/>
  <c r="S136" i="1"/>
  <c r="R136" i="1"/>
  <c r="W135" i="1"/>
  <c r="V135" i="1"/>
  <c r="T135" i="1"/>
  <c r="S135" i="1"/>
  <c r="R135" i="1"/>
  <c r="I135" i="1"/>
  <c r="W134" i="1"/>
  <c r="V134" i="1"/>
  <c r="U134" i="1"/>
  <c r="T134" i="1"/>
  <c r="S134" i="1"/>
  <c r="R134" i="1"/>
  <c r="P121" i="1"/>
  <c r="AL116" i="1"/>
  <c r="AK116" i="1"/>
  <c r="AD112" i="1"/>
  <c r="AC112" i="1"/>
  <c r="AD111" i="1"/>
  <c r="AC111" i="1"/>
  <c r="AD110" i="1"/>
  <c r="AC110" i="1"/>
  <c r="AD109" i="1"/>
  <c r="AD113" i="1" s="1"/>
  <c r="AN102" i="1" s="1"/>
  <c r="AC109" i="1"/>
  <c r="AC113" i="1" s="1"/>
  <c r="AN106" i="1"/>
  <c r="AM106" i="1"/>
  <c r="AJ106" i="1"/>
  <c r="AI106" i="1"/>
  <c r="AG106" i="1"/>
  <c r="S88" i="1"/>
  <c r="S87" i="1"/>
  <c r="S86" i="1"/>
  <c r="S85" i="1"/>
  <c r="S59" i="1"/>
  <c r="S58" i="1"/>
  <c r="H58" i="1"/>
  <c r="S57" i="1"/>
  <c r="S56" i="1"/>
  <c r="H56" i="1"/>
  <c r="AC51" i="1"/>
  <c r="AD51" i="1" s="1"/>
  <c r="M50" i="1"/>
  <c r="V45" i="1"/>
  <c r="K44" i="1"/>
  <c r="C42" i="1"/>
  <c r="C41" i="1"/>
  <c r="I40" i="1"/>
  <c r="S28" i="1"/>
  <c r="Y27" i="1"/>
  <c r="S27" i="1"/>
  <c r="S26" i="1"/>
  <c r="I23" i="1"/>
  <c r="I21" i="1"/>
  <c r="AF112" i="1" s="1"/>
  <c r="I20" i="1"/>
  <c r="I41" i="1" s="1"/>
  <c r="I19" i="1"/>
  <c r="AF110" i="1" s="1"/>
  <c r="I18" i="1"/>
  <c r="AF109" i="1" s="1"/>
  <c r="A138" i="3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B137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J11" i="3"/>
  <c r="F11" i="3"/>
  <c r="B11" i="3"/>
  <c r="C11" i="3" s="1"/>
  <c r="J6" i="3"/>
  <c r="F6" i="3"/>
  <c r="B6" i="3"/>
  <c r="K5" i="3"/>
  <c r="G5" i="3"/>
  <c r="C5" i="3"/>
  <c r="F258" i="2"/>
  <c r="D258" i="2"/>
  <c r="G258" i="2" s="1"/>
  <c r="H258" i="2" s="1"/>
  <c r="C258" i="2"/>
  <c r="E258" i="2" s="1"/>
  <c r="B258" i="2"/>
  <c r="F257" i="2"/>
  <c r="E257" i="2"/>
  <c r="B257" i="2"/>
  <c r="C257" i="2" s="1"/>
  <c r="D257" i="2" s="1"/>
  <c r="G257" i="2" s="1"/>
  <c r="H257" i="2" s="1"/>
  <c r="F256" i="2"/>
  <c r="E256" i="2"/>
  <c r="C256" i="2"/>
  <c r="D256" i="2" s="1"/>
  <c r="B256" i="2"/>
  <c r="I255" i="2"/>
  <c r="G255" i="2"/>
  <c r="H255" i="2" s="1"/>
  <c r="F255" i="2"/>
  <c r="D255" i="2"/>
  <c r="C255" i="2"/>
  <c r="E255" i="2" s="1"/>
  <c r="B255" i="2"/>
  <c r="I254" i="2"/>
  <c r="F254" i="2"/>
  <c r="E254" i="2"/>
  <c r="G254" i="2" s="1"/>
  <c r="H254" i="2" s="1"/>
  <c r="D254" i="2"/>
  <c r="C254" i="2"/>
  <c r="B254" i="2"/>
  <c r="I253" i="2"/>
  <c r="F253" i="2"/>
  <c r="B253" i="2"/>
  <c r="C253" i="2" s="1"/>
  <c r="D253" i="2" s="1"/>
  <c r="I252" i="2"/>
  <c r="F252" i="2"/>
  <c r="B252" i="2"/>
  <c r="C252" i="2" s="1"/>
  <c r="F251" i="2"/>
  <c r="B251" i="2"/>
  <c r="I251" i="2" s="1"/>
  <c r="I250" i="2"/>
  <c r="F250" i="2"/>
  <c r="B250" i="2"/>
  <c r="I249" i="2"/>
  <c r="F249" i="2"/>
  <c r="B249" i="2"/>
  <c r="F248" i="2"/>
  <c r="C248" i="2"/>
  <c r="B248" i="2"/>
  <c r="F247" i="2"/>
  <c r="B247" i="2"/>
  <c r="F246" i="2"/>
  <c r="D246" i="2"/>
  <c r="C246" i="2"/>
  <c r="E246" i="2" s="1"/>
  <c r="B246" i="2"/>
  <c r="F245" i="2"/>
  <c r="B245" i="2"/>
  <c r="F244" i="2"/>
  <c r="B244" i="2"/>
  <c r="I243" i="2"/>
  <c r="F243" i="2"/>
  <c r="C243" i="2"/>
  <c r="B243" i="2"/>
  <c r="I242" i="2"/>
  <c r="F242" i="2"/>
  <c r="E242" i="2"/>
  <c r="D242" i="2"/>
  <c r="G242" i="2" s="1"/>
  <c r="H242" i="2" s="1"/>
  <c r="C242" i="2"/>
  <c r="B242" i="2"/>
  <c r="I241" i="2"/>
  <c r="F241" i="2"/>
  <c r="E241" i="2"/>
  <c r="B241" i="2"/>
  <c r="C241" i="2" s="1"/>
  <c r="D241" i="2" s="1"/>
  <c r="F240" i="2"/>
  <c r="B240" i="2"/>
  <c r="C240" i="2" s="1"/>
  <c r="F239" i="2"/>
  <c r="B239" i="2"/>
  <c r="I238" i="2"/>
  <c r="F238" i="2"/>
  <c r="C238" i="2"/>
  <c r="B238" i="2"/>
  <c r="F237" i="2"/>
  <c r="B237" i="2"/>
  <c r="F236" i="2"/>
  <c r="C236" i="2"/>
  <c r="E236" i="2" s="1"/>
  <c r="B236" i="2"/>
  <c r="I236" i="2" s="1"/>
  <c r="F235" i="2"/>
  <c r="B235" i="2"/>
  <c r="I234" i="2"/>
  <c r="F234" i="2"/>
  <c r="E234" i="2"/>
  <c r="D234" i="2"/>
  <c r="G234" i="2" s="1"/>
  <c r="H234" i="2" s="1"/>
  <c r="C234" i="2"/>
  <c r="B234" i="2"/>
  <c r="F233" i="2"/>
  <c r="D233" i="2"/>
  <c r="C233" i="2"/>
  <c r="E233" i="2" s="1"/>
  <c r="B233" i="2"/>
  <c r="I232" i="2"/>
  <c r="F232" i="2"/>
  <c r="C232" i="2"/>
  <c r="B232" i="2"/>
  <c r="I231" i="2"/>
  <c r="F231" i="2"/>
  <c r="C231" i="2"/>
  <c r="E231" i="2" s="1"/>
  <c r="B231" i="2"/>
  <c r="I230" i="2"/>
  <c r="F230" i="2"/>
  <c r="E230" i="2"/>
  <c r="D230" i="2"/>
  <c r="C230" i="2"/>
  <c r="B230" i="2"/>
  <c r="I229" i="2"/>
  <c r="G229" i="2"/>
  <c r="H229" i="2" s="1"/>
  <c r="F229" i="2"/>
  <c r="E229" i="2"/>
  <c r="B229" i="2"/>
  <c r="C229" i="2" s="1"/>
  <c r="D229" i="2" s="1"/>
  <c r="I228" i="2"/>
  <c r="F228" i="2"/>
  <c r="B228" i="2"/>
  <c r="C228" i="2" s="1"/>
  <c r="I227" i="2"/>
  <c r="F227" i="2"/>
  <c r="B227" i="2"/>
  <c r="C227" i="2" s="1"/>
  <c r="E227" i="2" s="1"/>
  <c r="I226" i="2"/>
  <c r="F226" i="2"/>
  <c r="B226" i="2"/>
  <c r="C226" i="2" s="1"/>
  <c r="E226" i="2" s="1"/>
  <c r="I225" i="2"/>
  <c r="F225" i="2"/>
  <c r="C225" i="2"/>
  <c r="D225" i="2" s="1"/>
  <c r="B225" i="2"/>
  <c r="F224" i="2"/>
  <c r="B224" i="2"/>
  <c r="F223" i="2"/>
  <c r="B223" i="2"/>
  <c r="F222" i="2"/>
  <c r="B222" i="2"/>
  <c r="F221" i="2"/>
  <c r="B221" i="2"/>
  <c r="F220" i="2"/>
  <c r="B220" i="2"/>
  <c r="F219" i="2"/>
  <c r="B219" i="2"/>
  <c r="I218" i="2"/>
  <c r="F218" i="2"/>
  <c r="C218" i="2"/>
  <c r="B218" i="2"/>
  <c r="F217" i="2"/>
  <c r="B217" i="2"/>
  <c r="C217" i="2" s="1"/>
  <c r="E217" i="2" s="1"/>
  <c r="I216" i="2"/>
  <c r="F216" i="2"/>
  <c r="E216" i="2"/>
  <c r="B216" i="2"/>
  <c r="C216" i="2" s="1"/>
  <c r="D216" i="2" s="1"/>
  <c r="G216" i="2" s="1"/>
  <c r="H216" i="2" s="1"/>
  <c r="F215" i="2"/>
  <c r="B215" i="2"/>
  <c r="I214" i="2"/>
  <c r="F214" i="2"/>
  <c r="C214" i="2"/>
  <c r="B214" i="2"/>
  <c r="F213" i="2"/>
  <c r="D213" i="2"/>
  <c r="G213" i="2" s="1"/>
  <c r="H213" i="2" s="1"/>
  <c r="C213" i="2"/>
  <c r="E213" i="2" s="1"/>
  <c r="B213" i="2"/>
  <c r="I213" i="2" s="1"/>
  <c r="I212" i="2"/>
  <c r="F212" i="2"/>
  <c r="E212" i="2"/>
  <c r="D212" i="2"/>
  <c r="C212" i="2"/>
  <c r="B212" i="2"/>
  <c r="F211" i="2"/>
  <c r="B211" i="2"/>
  <c r="I211" i="2" s="1"/>
  <c r="F210" i="2"/>
  <c r="C210" i="2"/>
  <c r="E210" i="2" s="1"/>
  <c r="B210" i="2"/>
  <c r="F209" i="2"/>
  <c r="B209" i="2"/>
  <c r="I208" i="2"/>
  <c r="F208" i="2"/>
  <c r="C208" i="2"/>
  <c r="B208" i="2"/>
  <c r="F207" i="2"/>
  <c r="B207" i="2"/>
  <c r="I206" i="2"/>
  <c r="F206" i="2"/>
  <c r="E206" i="2"/>
  <c r="C206" i="2"/>
  <c r="D206" i="2" s="1"/>
  <c r="B206" i="2"/>
  <c r="F205" i="2"/>
  <c r="B205" i="2"/>
  <c r="C205" i="2" s="1"/>
  <c r="E205" i="2" s="1"/>
  <c r="I204" i="2"/>
  <c r="F204" i="2"/>
  <c r="E204" i="2"/>
  <c r="G204" i="2" s="1"/>
  <c r="H204" i="2" s="1"/>
  <c r="B204" i="2"/>
  <c r="C204" i="2" s="1"/>
  <c r="D204" i="2" s="1"/>
  <c r="F203" i="2"/>
  <c r="B203" i="2"/>
  <c r="I202" i="2"/>
  <c r="F202" i="2"/>
  <c r="C202" i="2"/>
  <c r="B202" i="2"/>
  <c r="F201" i="2"/>
  <c r="D201" i="2"/>
  <c r="G201" i="2" s="1"/>
  <c r="H201" i="2" s="1"/>
  <c r="C201" i="2"/>
  <c r="E201" i="2" s="1"/>
  <c r="B201" i="2"/>
  <c r="I201" i="2" s="1"/>
  <c r="I200" i="2"/>
  <c r="F200" i="2"/>
  <c r="E200" i="2"/>
  <c r="D200" i="2"/>
  <c r="C200" i="2"/>
  <c r="B200" i="2"/>
  <c r="F199" i="2"/>
  <c r="B199" i="2"/>
  <c r="F198" i="2"/>
  <c r="B198" i="2"/>
  <c r="F197" i="2"/>
  <c r="B197" i="2"/>
  <c r="I196" i="2"/>
  <c r="F196" i="2"/>
  <c r="D196" i="2"/>
  <c r="C196" i="2"/>
  <c r="E196" i="2" s="1"/>
  <c r="B196" i="2"/>
  <c r="I195" i="2"/>
  <c r="F195" i="2"/>
  <c r="B195" i="2"/>
  <c r="I194" i="2"/>
  <c r="F194" i="2"/>
  <c r="C194" i="2"/>
  <c r="D194" i="2" s="1"/>
  <c r="B194" i="2"/>
  <c r="F193" i="2"/>
  <c r="B193" i="2"/>
  <c r="C193" i="2" s="1"/>
  <c r="E193" i="2" s="1"/>
  <c r="I192" i="2"/>
  <c r="G192" i="2"/>
  <c r="H192" i="2" s="1"/>
  <c r="F192" i="2"/>
  <c r="E192" i="2"/>
  <c r="C192" i="2"/>
  <c r="D192" i="2" s="1"/>
  <c r="B192" i="2"/>
  <c r="F191" i="2"/>
  <c r="B191" i="2"/>
  <c r="F190" i="2"/>
  <c r="B190" i="2"/>
  <c r="F189" i="2"/>
  <c r="B189" i="2"/>
  <c r="I189" i="2" s="1"/>
  <c r="I188" i="2"/>
  <c r="F188" i="2"/>
  <c r="D188" i="2"/>
  <c r="G188" i="2" s="1"/>
  <c r="H188" i="2" s="1"/>
  <c r="C188" i="2"/>
  <c r="E188" i="2" s="1"/>
  <c r="B188" i="2"/>
  <c r="F187" i="2"/>
  <c r="B187" i="2"/>
  <c r="I186" i="2"/>
  <c r="F186" i="2"/>
  <c r="G186" i="2" s="1"/>
  <c r="H186" i="2" s="1"/>
  <c r="E186" i="2"/>
  <c r="C186" i="2"/>
  <c r="D186" i="2" s="1"/>
  <c r="B186" i="2"/>
  <c r="I185" i="2"/>
  <c r="F185" i="2"/>
  <c r="C185" i="2"/>
  <c r="E185" i="2" s="1"/>
  <c r="B185" i="2"/>
  <c r="I184" i="2"/>
  <c r="F184" i="2"/>
  <c r="C184" i="2"/>
  <c r="B184" i="2"/>
  <c r="I183" i="2"/>
  <c r="F183" i="2"/>
  <c r="D183" i="2"/>
  <c r="B183" i="2"/>
  <c r="C183" i="2" s="1"/>
  <c r="E183" i="2" s="1"/>
  <c r="F182" i="2"/>
  <c r="B182" i="2"/>
  <c r="F181" i="2"/>
  <c r="B181" i="2"/>
  <c r="F180" i="2"/>
  <c r="C180" i="2"/>
  <c r="E180" i="2" s="1"/>
  <c r="B180" i="2"/>
  <c r="F179" i="2"/>
  <c r="C179" i="2"/>
  <c r="E179" i="2" s="1"/>
  <c r="B179" i="2"/>
  <c r="F178" i="2"/>
  <c r="C178" i="2"/>
  <c r="E178" i="2" s="1"/>
  <c r="B178" i="2"/>
  <c r="F177" i="2"/>
  <c r="C177" i="2"/>
  <c r="E177" i="2" s="1"/>
  <c r="B177" i="2"/>
  <c r="I177" i="2" s="1"/>
  <c r="F176" i="2"/>
  <c r="C176" i="2"/>
  <c r="E176" i="2" s="1"/>
  <c r="B176" i="2"/>
  <c r="F175" i="2"/>
  <c r="C175" i="2"/>
  <c r="E175" i="2" s="1"/>
  <c r="B175" i="2"/>
  <c r="F174" i="2"/>
  <c r="C174" i="2"/>
  <c r="E174" i="2" s="1"/>
  <c r="B174" i="2"/>
  <c r="F173" i="2"/>
  <c r="C173" i="2"/>
  <c r="E173" i="2" s="1"/>
  <c r="B173" i="2"/>
  <c r="I172" i="2"/>
  <c r="F172" i="2"/>
  <c r="C172" i="2"/>
  <c r="E172" i="2" s="1"/>
  <c r="B172" i="2"/>
  <c r="F171" i="2"/>
  <c r="B171" i="2"/>
  <c r="C171" i="2" s="1"/>
  <c r="E171" i="2" s="1"/>
  <c r="F170" i="2"/>
  <c r="B170" i="2"/>
  <c r="F169" i="2"/>
  <c r="B169" i="2"/>
  <c r="F168" i="2"/>
  <c r="B168" i="2"/>
  <c r="F167" i="2"/>
  <c r="B167" i="2"/>
  <c r="F166" i="2"/>
  <c r="B166" i="2"/>
  <c r="F165" i="2"/>
  <c r="B165" i="2"/>
  <c r="F164" i="2"/>
  <c r="B164" i="2"/>
  <c r="F163" i="2"/>
  <c r="B163" i="2"/>
  <c r="F162" i="2"/>
  <c r="B162" i="2"/>
  <c r="F161" i="2"/>
  <c r="B161" i="2"/>
  <c r="I160" i="2"/>
  <c r="F160" i="2"/>
  <c r="D160" i="2"/>
  <c r="G160" i="2" s="1"/>
  <c r="H160" i="2" s="1"/>
  <c r="C160" i="2"/>
  <c r="E160" i="2" s="1"/>
  <c r="B160" i="2"/>
  <c r="F159" i="2"/>
  <c r="B159" i="2"/>
  <c r="F158" i="2"/>
  <c r="B158" i="2"/>
  <c r="F157" i="2"/>
  <c r="B157" i="2"/>
  <c r="F156" i="2"/>
  <c r="C156" i="2"/>
  <c r="B156" i="2"/>
  <c r="F155" i="2"/>
  <c r="B155" i="2"/>
  <c r="F154" i="2"/>
  <c r="B154" i="2"/>
  <c r="F153" i="2"/>
  <c r="B153" i="2"/>
  <c r="F152" i="2"/>
  <c r="C152" i="2"/>
  <c r="B152" i="2"/>
  <c r="F151" i="2"/>
  <c r="C151" i="2"/>
  <c r="E151" i="2" s="1"/>
  <c r="B151" i="2"/>
  <c r="I150" i="2"/>
  <c r="F150" i="2"/>
  <c r="E150" i="2"/>
  <c r="D150" i="2"/>
  <c r="C150" i="2"/>
  <c r="B150" i="2"/>
  <c r="I149" i="2"/>
  <c r="F149" i="2"/>
  <c r="E149" i="2"/>
  <c r="D149" i="2"/>
  <c r="C149" i="2"/>
  <c r="B149" i="2"/>
  <c r="I148" i="2"/>
  <c r="G148" i="2"/>
  <c r="H148" i="2" s="1"/>
  <c r="F148" i="2"/>
  <c r="E148" i="2"/>
  <c r="D148" i="2"/>
  <c r="C148" i="2"/>
  <c r="B148" i="2"/>
  <c r="I147" i="2"/>
  <c r="F147" i="2"/>
  <c r="B147" i="2"/>
  <c r="C147" i="2" s="1"/>
  <c r="I146" i="2"/>
  <c r="F146" i="2"/>
  <c r="C146" i="2"/>
  <c r="E146" i="2" s="1"/>
  <c r="B146" i="2"/>
  <c r="I145" i="2"/>
  <c r="F145" i="2"/>
  <c r="B145" i="2"/>
  <c r="C145" i="2" s="1"/>
  <c r="F144" i="2"/>
  <c r="C144" i="2"/>
  <c r="E144" i="2" s="1"/>
  <c r="B144" i="2"/>
  <c r="I144" i="2" s="1"/>
  <c r="F143" i="2"/>
  <c r="B143" i="2"/>
  <c r="F142" i="2"/>
  <c r="B142" i="2"/>
  <c r="F141" i="2"/>
  <c r="B141" i="2"/>
  <c r="A141" i="2"/>
  <c r="A142" i="2" s="1"/>
  <c r="F140" i="2"/>
  <c r="C140" i="2"/>
  <c r="B140" i="2"/>
  <c r="A140" i="2"/>
  <c r="F139" i="2"/>
  <c r="D139" i="2"/>
  <c r="G139" i="2" s="1"/>
  <c r="H139" i="2" s="1"/>
  <c r="C139" i="2"/>
  <c r="E139" i="2" s="1"/>
  <c r="B139" i="2"/>
  <c r="A139" i="2"/>
  <c r="I138" i="2"/>
  <c r="F138" i="2"/>
  <c r="E138" i="2"/>
  <c r="D138" i="2"/>
  <c r="C138" i="2"/>
  <c r="B138" i="2"/>
  <c r="L138" i="2" s="1"/>
  <c r="A138" i="2"/>
  <c r="L137" i="2"/>
  <c r="M137" i="2" s="1"/>
  <c r="I137" i="2"/>
  <c r="F137" i="2"/>
  <c r="E137" i="2"/>
  <c r="D137" i="2"/>
  <c r="C137" i="2"/>
  <c r="B137" i="2"/>
  <c r="I132" i="2"/>
  <c r="F132" i="2"/>
  <c r="G132" i="2" s="1"/>
  <c r="H132" i="2" s="1"/>
  <c r="E132" i="2"/>
  <c r="D132" i="2"/>
  <c r="C132" i="2"/>
  <c r="B132" i="2"/>
  <c r="I131" i="2"/>
  <c r="F131" i="2"/>
  <c r="G131" i="2" s="1"/>
  <c r="H131" i="2" s="1"/>
  <c r="E131" i="2"/>
  <c r="D131" i="2"/>
  <c r="C131" i="2"/>
  <c r="B131" i="2"/>
  <c r="I130" i="2"/>
  <c r="F130" i="2"/>
  <c r="B130" i="2"/>
  <c r="C130" i="2" s="1"/>
  <c r="I129" i="2"/>
  <c r="F129" i="2"/>
  <c r="C129" i="2"/>
  <c r="E129" i="2" s="1"/>
  <c r="B129" i="2"/>
  <c r="I128" i="2"/>
  <c r="F128" i="2"/>
  <c r="B128" i="2"/>
  <c r="C128" i="2" s="1"/>
  <c r="I127" i="2"/>
  <c r="F127" i="2"/>
  <c r="E127" i="2"/>
  <c r="C127" i="2"/>
  <c r="D127" i="2" s="1"/>
  <c r="G127" i="2" s="1"/>
  <c r="H127" i="2" s="1"/>
  <c r="B127" i="2"/>
  <c r="F126" i="2"/>
  <c r="B126" i="2"/>
  <c r="F125" i="2"/>
  <c r="B125" i="2"/>
  <c r="F124" i="2"/>
  <c r="B124" i="2"/>
  <c r="I123" i="2"/>
  <c r="F123" i="2"/>
  <c r="C123" i="2"/>
  <c r="E123" i="2" s="1"/>
  <c r="B123" i="2"/>
  <c r="F122" i="2"/>
  <c r="E122" i="2"/>
  <c r="D122" i="2"/>
  <c r="C122" i="2"/>
  <c r="B122" i="2"/>
  <c r="I121" i="2"/>
  <c r="F121" i="2"/>
  <c r="D121" i="2"/>
  <c r="C121" i="2"/>
  <c r="E121" i="2" s="1"/>
  <c r="B121" i="2"/>
  <c r="I120" i="2"/>
  <c r="F120" i="2"/>
  <c r="E120" i="2"/>
  <c r="D120" i="2"/>
  <c r="G120" i="2" s="1"/>
  <c r="H120" i="2" s="1"/>
  <c r="C120" i="2"/>
  <c r="B120" i="2"/>
  <c r="I119" i="2"/>
  <c r="F119" i="2"/>
  <c r="B119" i="2"/>
  <c r="C119" i="2" s="1"/>
  <c r="D119" i="2" s="1"/>
  <c r="F118" i="2"/>
  <c r="B118" i="2"/>
  <c r="C118" i="2" s="1"/>
  <c r="I117" i="2"/>
  <c r="F117" i="2"/>
  <c r="C117" i="2"/>
  <c r="B117" i="2"/>
  <c r="F116" i="2"/>
  <c r="B116" i="2"/>
  <c r="C116" i="2" s="1"/>
  <c r="E116" i="2" s="1"/>
  <c r="I115" i="2"/>
  <c r="F115" i="2"/>
  <c r="E115" i="2"/>
  <c r="C115" i="2"/>
  <c r="D115" i="2" s="1"/>
  <c r="B115" i="2"/>
  <c r="F114" i="2"/>
  <c r="C114" i="2"/>
  <c r="B114" i="2"/>
  <c r="I114" i="2" s="1"/>
  <c r="F113" i="2"/>
  <c r="D113" i="2"/>
  <c r="C113" i="2"/>
  <c r="E113" i="2" s="1"/>
  <c r="B113" i="2"/>
  <c r="F112" i="2"/>
  <c r="C112" i="2"/>
  <c r="E112" i="2" s="1"/>
  <c r="B112" i="2"/>
  <c r="F111" i="2"/>
  <c r="B111" i="2"/>
  <c r="I111" i="2" s="1"/>
  <c r="F110" i="2"/>
  <c r="D110" i="2"/>
  <c r="G110" i="2" s="1"/>
  <c r="H110" i="2" s="1"/>
  <c r="C110" i="2"/>
  <c r="E110" i="2" s="1"/>
  <c r="B110" i="2"/>
  <c r="I109" i="2"/>
  <c r="F109" i="2"/>
  <c r="D109" i="2"/>
  <c r="C109" i="2"/>
  <c r="E109" i="2" s="1"/>
  <c r="B109" i="2"/>
  <c r="I108" i="2"/>
  <c r="F108" i="2"/>
  <c r="D108" i="2"/>
  <c r="C108" i="2"/>
  <c r="E108" i="2" s="1"/>
  <c r="B108" i="2"/>
  <c r="I107" i="2"/>
  <c r="F107" i="2"/>
  <c r="B107" i="2"/>
  <c r="C107" i="2" s="1"/>
  <c r="E107" i="2" s="1"/>
  <c r="I106" i="2"/>
  <c r="F106" i="2"/>
  <c r="B106" i="2"/>
  <c r="C106" i="2" s="1"/>
  <c r="D106" i="2" s="1"/>
  <c r="I105" i="2"/>
  <c r="F105" i="2"/>
  <c r="C105" i="2"/>
  <c r="B105" i="2"/>
  <c r="I104" i="2"/>
  <c r="F104" i="2"/>
  <c r="D104" i="2"/>
  <c r="G104" i="2" s="1"/>
  <c r="H104" i="2" s="1"/>
  <c r="B104" i="2"/>
  <c r="C104" i="2" s="1"/>
  <c r="E104" i="2" s="1"/>
  <c r="F103" i="2"/>
  <c r="C103" i="2"/>
  <c r="E103" i="2" s="1"/>
  <c r="B103" i="2"/>
  <c r="I103" i="2" s="1"/>
  <c r="F102" i="2"/>
  <c r="B102" i="2"/>
  <c r="F101" i="2"/>
  <c r="B101" i="2"/>
  <c r="F100" i="2"/>
  <c r="D100" i="2"/>
  <c r="C100" i="2"/>
  <c r="E100" i="2" s="1"/>
  <c r="B100" i="2"/>
  <c r="F99" i="2"/>
  <c r="C99" i="2"/>
  <c r="E99" i="2" s="1"/>
  <c r="B99" i="2"/>
  <c r="F98" i="2"/>
  <c r="B98" i="2"/>
  <c r="I97" i="2"/>
  <c r="F97" i="2"/>
  <c r="C97" i="2"/>
  <c r="E97" i="2" s="1"/>
  <c r="B97" i="2"/>
  <c r="I96" i="2"/>
  <c r="F96" i="2"/>
  <c r="D96" i="2"/>
  <c r="C96" i="2"/>
  <c r="E96" i="2" s="1"/>
  <c r="B96" i="2"/>
  <c r="I95" i="2"/>
  <c r="F95" i="2"/>
  <c r="D95" i="2"/>
  <c r="B95" i="2"/>
  <c r="C95" i="2" s="1"/>
  <c r="E95" i="2" s="1"/>
  <c r="I94" i="2"/>
  <c r="F94" i="2"/>
  <c r="B94" i="2"/>
  <c r="C94" i="2" s="1"/>
  <c r="D94" i="2" s="1"/>
  <c r="F93" i="2"/>
  <c r="C93" i="2"/>
  <c r="E93" i="2" s="1"/>
  <c r="B93" i="2"/>
  <c r="I92" i="2"/>
  <c r="F92" i="2"/>
  <c r="B92" i="2"/>
  <c r="C92" i="2" s="1"/>
  <c r="I91" i="2"/>
  <c r="F91" i="2"/>
  <c r="C91" i="2"/>
  <c r="E91" i="2" s="1"/>
  <c r="B91" i="2"/>
  <c r="F90" i="2"/>
  <c r="B90" i="2"/>
  <c r="I90" i="2" s="1"/>
  <c r="F89" i="2"/>
  <c r="C89" i="2"/>
  <c r="E89" i="2" s="1"/>
  <c r="B89" i="2"/>
  <c r="F88" i="2"/>
  <c r="D88" i="2"/>
  <c r="C88" i="2"/>
  <c r="E88" i="2" s="1"/>
  <c r="B88" i="2"/>
  <c r="I88" i="2" s="1"/>
  <c r="F87" i="2"/>
  <c r="B87" i="2"/>
  <c r="F86" i="2"/>
  <c r="C86" i="2"/>
  <c r="B86" i="2"/>
  <c r="I85" i="2"/>
  <c r="F85" i="2"/>
  <c r="D85" i="2"/>
  <c r="G85" i="2" s="1"/>
  <c r="H85" i="2" s="1"/>
  <c r="C85" i="2"/>
  <c r="E85" i="2" s="1"/>
  <c r="B85" i="2"/>
  <c r="F84" i="2"/>
  <c r="E84" i="2"/>
  <c r="D84" i="2"/>
  <c r="C84" i="2"/>
  <c r="B84" i="2"/>
  <c r="I84" i="2" s="1"/>
  <c r="I83" i="2"/>
  <c r="F83" i="2"/>
  <c r="E83" i="2"/>
  <c r="D83" i="2"/>
  <c r="C83" i="2"/>
  <c r="B83" i="2"/>
  <c r="F82" i="2"/>
  <c r="B82" i="2"/>
  <c r="C82" i="2" s="1"/>
  <c r="F81" i="2"/>
  <c r="C81" i="2"/>
  <c r="E81" i="2" s="1"/>
  <c r="B81" i="2"/>
  <c r="I80" i="2"/>
  <c r="F80" i="2"/>
  <c r="B80" i="2"/>
  <c r="C80" i="2" s="1"/>
  <c r="I79" i="2"/>
  <c r="F79" i="2"/>
  <c r="C79" i="2"/>
  <c r="E79" i="2" s="1"/>
  <c r="B79" i="2"/>
  <c r="F78" i="2"/>
  <c r="B78" i="2"/>
  <c r="F77" i="2"/>
  <c r="C77" i="2"/>
  <c r="B77" i="2"/>
  <c r="F76" i="2"/>
  <c r="D76" i="2"/>
  <c r="G76" i="2" s="1"/>
  <c r="H76" i="2" s="1"/>
  <c r="C76" i="2"/>
  <c r="E76" i="2" s="1"/>
  <c r="B76" i="2"/>
  <c r="I76" i="2" s="1"/>
  <c r="F75" i="2"/>
  <c r="B75" i="2"/>
  <c r="F74" i="2"/>
  <c r="B74" i="2"/>
  <c r="I73" i="2"/>
  <c r="F73" i="2"/>
  <c r="C73" i="2"/>
  <c r="E73" i="2" s="1"/>
  <c r="B73" i="2"/>
  <c r="F72" i="2"/>
  <c r="E72" i="2"/>
  <c r="D72" i="2"/>
  <c r="C72" i="2"/>
  <c r="B72" i="2"/>
  <c r="I72" i="2" s="1"/>
  <c r="I71" i="2"/>
  <c r="F71" i="2"/>
  <c r="E71" i="2"/>
  <c r="D71" i="2"/>
  <c r="C71" i="2"/>
  <c r="B71" i="2"/>
  <c r="F70" i="2"/>
  <c r="B70" i="2"/>
  <c r="C70" i="2" s="1"/>
  <c r="F69" i="2"/>
  <c r="C69" i="2"/>
  <c r="E69" i="2" s="1"/>
  <c r="B69" i="2"/>
  <c r="F68" i="2"/>
  <c r="B68" i="2"/>
  <c r="I67" i="2"/>
  <c r="F67" i="2"/>
  <c r="C67" i="2"/>
  <c r="B67" i="2"/>
  <c r="F66" i="2"/>
  <c r="B66" i="2"/>
  <c r="F65" i="2"/>
  <c r="B65" i="2"/>
  <c r="F64" i="2"/>
  <c r="C64" i="2"/>
  <c r="E64" i="2" s="1"/>
  <c r="B64" i="2"/>
  <c r="I64" i="2" s="1"/>
  <c r="I63" i="2"/>
  <c r="F63" i="2"/>
  <c r="B63" i="2"/>
  <c r="F62" i="2"/>
  <c r="B62" i="2"/>
  <c r="I61" i="2"/>
  <c r="F61" i="2"/>
  <c r="C61" i="2"/>
  <c r="E61" i="2" s="1"/>
  <c r="B61" i="2"/>
  <c r="F60" i="2"/>
  <c r="E60" i="2"/>
  <c r="D60" i="2"/>
  <c r="G60" i="2" s="1"/>
  <c r="H60" i="2" s="1"/>
  <c r="C60" i="2"/>
  <c r="B60" i="2"/>
  <c r="I60" i="2" s="1"/>
  <c r="I59" i="2"/>
  <c r="F59" i="2"/>
  <c r="E59" i="2"/>
  <c r="D59" i="2"/>
  <c r="C59" i="2"/>
  <c r="B59" i="2"/>
  <c r="I58" i="2"/>
  <c r="G58" i="2"/>
  <c r="H58" i="2" s="1"/>
  <c r="F58" i="2"/>
  <c r="E58" i="2"/>
  <c r="B58" i="2"/>
  <c r="C58" i="2" s="1"/>
  <c r="D58" i="2" s="1"/>
  <c r="F57" i="2"/>
  <c r="C57" i="2"/>
  <c r="B57" i="2"/>
  <c r="F56" i="2"/>
  <c r="B56" i="2"/>
  <c r="I55" i="2"/>
  <c r="F55" i="2"/>
  <c r="C55" i="2"/>
  <c r="D55" i="2" s="1"/>
  <c r="B55" i="2"/>
  <c r="F54" i="2"/>
  <c r="B54" i="2"/>
  <c r="F53" i="2"/>
  <c r="E53" i="2"/>
  <c r="C53" i="2"/>
  <c r="D53" i="2" s="1"/>
  <c r="G53" i="2" s="1"/>
  <c r="H53" i="2" s="1"/>
  <c r="B53" i="2"/>
  <c r="I53" i="2" s="1"/>
  <c r="F52" i="2"/>
  <c r="C52" i="2"/>
  <c r="E52" i="2" s="1"/>
  <c r="B52" i="2"/>
  <c r="I52" i="2" s="1"/>
  <c r="I51" i="2"/>
  <c r="F51" i="2"/>
  <c r="B51" i="2"/>
  <c r="F50" i="2"/>
  <c r="B50" i="2"/>
  <c r="I49" i="2"/>
  <c r="F49" i="2"/>
  <c r="B49" i="2"/>
  <c r="F48" i="2"/>
  <c r="C48" i="2"/>
  <c r="E48" i="2" s="1"/>
  <c r="B48" i="2"/>
  <c r="I48" i="2" s="1"/>
  <c r="I47" i="2"/>
  <c r="F47" i="2"/>
  <c r="E47" i="2"/>
  <c r="D47" i="2"/>
  <c r="C47" i="2"/>
  <c r="B47" i="2"/>
  <c r="I46" i="2"/>
  <c r="F46" i="2"/>
  <c r="E46" i="2"/>
  <c r="D46" i="2"/>
  <c r="G46" i="2" s="1"/>
  <c r="H46" i="2" s="1"/>
  <c r="B46" i="2"/>
  <c r="C46" i="2" s="1"/>
  <c r="F45" i="2"/>
  <c r="C45" i="2"/>
  <c r="D45" i="2" s="1"/>
  <c r="B45" i="2"/>
  <c r="I45" i="2" s="1"/>
  <c r="F44" i="2"/>
  <c r="B44" i="2"/>
  <c r="F43" i="2"/>
  <c r="B43" i="2"/>
  <c r="I42" i="2"/>
  <c r="F42" i="2"/>
  <c r="E42" i="2"/>
  <c r="C42" i="2"/>
  <c r="D42" i="2" s="1"/>
  <c r="G42" i="2" s="1"/>
  <c r="H42" i="2" s="1"/>
  <c r="B42" i="2"/>
  <c r="I41" i="2"/>
  <c r="F41" i="2"/>
  <c r="B41" i="2"/>
  <c r="F40" i="2"/>
  <c r="C40" i="2"/>
  <c r="E40" i="2" s="1"/>
  <c r="B40" i="2"/>
  <c r="I40" i="2" s="1"/>
  <c r="F39" i="2"/>
  <c r="B39" i="2"/>
  <c r="I38" i="2"/>
  <c r="F38" i="2"/>
  <c r="E38" i="2"/>
  <c r="C38" i="2"/>
  <c r="D38" i="2" s="1"/>
  <c r="G38" i="2" s="1"/>
  <c r="H38" i="2" s="1"/>
  <c r="B38" i="2"/>
  <c r="I37" i="2"/>
  <c r="F37" i="2"/>
  <c r="E37" i="2"/>
  <c r="C37" i="2"/>
  <c r="D37" i="2" s="1"/>
  <c r="G37" i="2" s="1"/>
  <c r="H37" i="2" s="1"/>
  <c r="B37" i="2"/>
  <c r="I36" i="2"/>
  <c r="F36" i="2"/>
  <c r="E36" i="2"/>
  <c r="C36" i="2"/>
  <c r="D36" i="2" s="1"/>
  <c r="G36" i="2" s="1"/>
  <c r="H36" i="2" s="1"/>
  <c r="B36" i="2"/>
  <c r="I35" i="2"/>
  <c r="F35" i="2"/>
  <c r="E35" i="2"/>
  <c r="C35" i="2"/>
  <c r="D35" i="2" s="1"/>
  <c r="G35" i="2" s="1"/>
  <c r="H35" i="2" s="1"/>
  <c r="B35" i="2"/>
  <c r="I34" i="2"/>
  <c r="F34" i="2"/>
  <c r="E34" i="2"/>
  <c r="D34" i="2"/>
  <c r="G34" i="2" s="1"/>
  <c r="H34" i="2" s="1"/>
  <c r="B34" i="2"/>
  <c r="C34" i="2" s="1"/>
  <c r="I33" i="2"/>
  <c r="F33" i="2"/>
  <c r="C33" i="2"/>
  <c r="D33" i="2" s="1"/>
  <c r="B33" i="2"/>
  <c r="I32" i="2"/>
  <c r="F32" i="2"/>
  <c r="C32" i="2"/>
  <c r="E32" i="2" s="1"/>
  <c r="B32" i="2"/>
  <c r="F31" i="2"/>
  <c r="B31" i="2"/>
  <c r="C31" i="2" s="1"/>
  <c r="F30" i="2"/>
  <c r="B30" i="2"/>
  <c r="I30" i="2" s="1"/>
  <c r="F29" i="2"/>
  <c r="B29" i="2"/>
  <c r="I29" i="2" s="1"/>
  <c r="F28" i="2"/>
  <c r="C28" i="2"/>
  <c r="E28" i="2" s="1"/>
  <c r="B28" i="2"/>
  <c r="I28" i="2" s="1"/>
  <c r="F27" i="2"/>
  <c r="D27" i="2"/>
  <c r="C27" i="2"/>
  <c r="E27" i="2" s="1"/>
  <c r="B27" i="2"/>
  <c r="I26" i="2"/>
  <c r="F26" i="2"/>
  <c r="E26" i="2"/>
  <c r="G26" i="2" s="1"/>
  <c r="H26" i="2" s="1"/>
  <c r="D26" i="2"/>
  <c r="C26" i="2"/>
  <c r="B26" i="2"/>
  <c r="F25" i="2"/>
  <c r="B25" i="2"/>
  <c r="F24" i="2"/>
  <c r="B24" i="2"/>
  <c r="F23" i="2"/>
  <c r="C23" i="2"/>
  <c r="E23" i="2" s="1"/>
  <c r="B23" i="2"/>
  <c r="I23" i="2" s="1"/>
  <c r="I22" i="2"/>
  <c r="F22" i="2"/>
  <c r="B22" i="2"/>
  <c r="C22" i="2" s="1"/>
  <c r="F21" i="2"/>
  <c r="B21" i="2"/>
  <c r="C21" i="2" s="1"/>
  <c r="F20" i="2"/>
  <c r="C20" i="2"/>
  <c r="E20" i="2" s="1"/>
  <c r="B20" i="2"/>
  <c r="F19" i="2"/>
  <c r="B19" i="2"/>
  <c r="C19" i="2" s="1"/>
  <c r="I18" i="2"/>
  <c r="F18" i="2"/>
  <c r="E18" i="2"/>
  <c r="C18" i="2"/>
  <c r="D18" i="2" s="1"/>
  <c r="G18" i="2" s="1"/>
  <c r="H18" i="2" s="1"/>
  <c r="B18" i="2"/>
  <c r="F17" i="2"/>
  <c r="B17" i="2"/>
  <c r="C17" i="2" s="1"/>
  <c r="F16" i="2"/>
  <c r="C16" i="2"/>
  <c r="E16" i="2" s="1"/>
  <c r="B16" i="2"/>
  <c r="I16" i="2" s="1"/>
  <c r="F15" i="2"/>
  <c r="D15" i="2"/>
  <c r="G15" i="2" s="1"/>
  <c r="H15" i="2" s="1"/>
  <c r="C15" i="2"/>
  <c r="E15" i="2" s="1"/>
  <c r="B15" i="2"/>
  <c r="I14" i="2"/>
  <c r="F14" i="2"/>
  <c r="E14" i="2"/>
  <c r="G14" i="2" s="1"/>
  <c r="H14" i="2" s="1"/>
  <c r="D14" i="2"/>
  <c r="C14" i="2"/>
  <c r="B14" i="2"/>
  <c r="F13" i="2"/>
  <c r="B13" i="2"/>
  <c r="A13" i="2"/>
  <c r="A14" i="2" s="1"/>
  <c r="F12" i="2"/>
  <c r="B12" i="2"/>
  <c r="A12" i="2"/>
  <c r="F11" i="2"/>
  <c r="C11" i="2"/>
  <c r="D11" i="2" s="1"/>
  <c r="B11" i="2"/>
  <c r="I11" i="2" s="1"/>
  <c r="L11" i="2" s="1"/>
  <c r="M11" i="2" s="1"/>
  <c r="J6" i="2"/>
  <c r="F6" i="2"/>
  <c r="B6" i="2"/>
  <c r="K5" i="2"/>
  <c r="G5" i="2"/>
  <c r="C5" i="2"/>
  <c r="AF113" i="1" l="1"/>
  <c r="I136" i="1"/>
  <c r="K41" i="1" s="1"/>
  <c r="K40" i="1"/>
  <c r="I42" i="1"/>
  <c r="K42" i="1" s="1"/>
  <c r="I22" i="1"/>
  <c r="G39" i="1" s="1"/>
  <c r="I39" i="1"/>
  <c r="K39" i="1" s="1"/>
  <c r="AE109" i="1"/>
  <c r="AE113" i="1" s="1"/>
  <c r="AE110" i="1"/>
  <c r="AE111" i="1"/>
  <c r="AE112" i="1"/>
  <c r="AF111" i="1"/>
  <c r="A15" i="2"/>
  <c r="L14" i="2"/>
  <c r="G27" i="2"/>
  <c r="H27" i="2" s="1"/>
  <c r="L13" i="2"/>
  <c r="J14" i="2"/>
  <c r="D21" i="2"/>
  <c r="E21" i="2"/>
  <c r="D19" i="2"/>
  <c r="E19" i="2"/>
  <c r="E17" i="2"/>
  <c r="D17" i="2"/>
  <c r="G17" i="2" s="1"/>
  <c r="H17" i="2" s="1"/>
  <c r="E22" i="2"/>
  <c r="D22" i="2"/>
  <c r="G22" i="2" s="1"/>
  <c r="H22" i="2" s="1"/>
  <c r="J15" i="2"/>
  <c r="E31" i="2"/>
  <c r="D31" i="2"/>
  <c r="I17" i="2"/>
  <c r="I31" i="2"/>
  <c r="G47" i="2"/>
  <c r="H47" i="2" s="1"/>
  <c r="G84" i="2"/>
  <c r="H84" i="2" s="1"/>
  <c r="I87" i="2"/>
  <c r="C87" i="2"/>
  <c r="E92" i="2"/>
  <c r="D92" i="2"/>
  <c r="G92" i="2" s="1"/>
  <c r="H92" i="2" s="1"/>
  <c r="A143" i="2"/>
  <c r="I154" i="2"/>
  <c r="C154" i="2"/>
  <c r="C12" i="2"/>
  <c r="C24" i="2"/>
  <c r="C56" i="2"/>
  <c r="I65" i="2"/>
  <c r="E82" i="2"/>
  <c r="D82" i="2"/>
  <c r="G82" i="2" s="1"/>
  <c r="H82" i="2" s="1"/>
  <c r="L141" i="2"/>
  <c r="I141" i="2"/>
  <c r="C141" i="2"/>
  <c r="D23" i="2"/>
  <c r="G23" i="2" s="1"/>
  <c r="H23" i="2" s="1"/>
  <c r="E11" i="2"/>
  <c r="G11" i="2" s="1"/>
  <c r="H11" i="2" s="1"/>
  <c r="J11" i="2" s="1"/>
  <c r="K11" i="2" s="1"/>
  <c r="C13" i="2"/>
  <c r="I19" i="2"/>
  <c r="C25" i="2"/>
  <c r="C43" i="2"/>
  <c r="C44" i="2"/>
  <c r="E45" i="2"/>
  <c r="G45" i="2" s="1"/>
  <c r="H45" i="2" s="1"/>
  <c r="C65" i="2"/>
  <c r="I75" i="2"/>
  <c r="C75" i="2"/>
  <c r="E77" i="2"/>
  <c r="D77" i="2"/>
  <c r="G95" i="2"/>
  <c r="H95" i="2" s="1"/>
  <c r="D103" i="2"/>
  <c r="G103" i="2" s="1"/>
  <c r="H103" i="2" s="1"/>
  <c r="I20" i="2"/>
  <c r="C51" i="2"/>
  <c r="I62" i="2"/>
  <c r="E67" i="2"/>
  <c r="D67" i="2"/>
  <c r="G67" i="2" s="1"/>
  <c r="H67" i="2" s="1"/>
  <c r="G121" i="2"/>
  <c r="H121" i="2" s="1"/>
  <c r="I124" i="2"/>
  <c r="C124" i="2"/>
  <c r="I21" i="2"/>
  <c r="C41" i="2"/>
  <c r="D52" i="2"/>
  <c r="G52" i="2" s="1"/>
  <c r="H52" i="2" s="1"/>
  <c r="G59" i="2"/>
  <c r="H59" i="2" s="1"/>
  <c r="C62" i="2"/>
  <c r="G71" i="2"/>
  <c r="H71" i="2" s="1"/>
  <c r="E80" i="2"/>
  <c r="D80" i="2"/>
  <c r="G100" i="2"/>
  <c r="H100" i="2" s="1"/>
  <c r="G109" i="2"/>
  <c r="H109" i="2" s="1"/>
  <c r="C39" i="2"/>
  <c r="D16" i="2"/>
  <c r="G16" i="2" s="1"/>
  <c r="H16" i="2" s="1"/>
  <c r="D28" i="2"/>
  <c r="G28" i="2" s="1"/>
  <c r="H28" i="2" s="1"/>
  <c r="C29" i="2"/>
  <c r="C30" i="2"/>
  <c r="D40" i="2"/>
  <c r="G40" i="2" s="1"/>
  <c r="H40" i="2" s="1"/>
  <c r="C50" i="2"/>
  <c r="E55" i="2"/>
  <c r="G55" i="2" s="1"/>
  <c r="H55" i="2" s="1"/>
  <c r="I56" i="2"/>
  <c r="D73" i="2"/>
  <c r="G73" i="2" s="1"/>
  <c r="H73" i="2" s="1"/>
  <c r="I78" i="2"/>
  <c r="C78" i="2"/>
  <c r="G83" i="2"/>
  <c r="H83" i="2" s="1"/>
  <c r="G88" i="2"/>
  <c r="H88" i="2" s="1"/>
  <c r="I12" i="2"/>
  <c r="L12" i="2" s="1"/>
  <c r="M12" i="2" s="1"/>
  <c r="I24" i="2"/>
  <c r="I44" i="2"/>
  <c r="I101" i="2"/>
  <c r="C101" i="2"/>
  <c r="D218" i="2"/>
  <c r="E218" i="2"/>
  <c r="I13" i="2"/>
  <c r="I25" i="2"/>
  <c r="D32" i="2"/>
  <c r="G32" i="2" s="1"/>
  <c r="H32" i="2" s="1"/>
  <c r="E33" i="2"/>
  <c r="G33" i="2" s="1"/>
  <c r="H33" i="2" s="1"/>
  <c r="I43" i="2"/>
  <c r="C49" i="2"/>
  <c r="C54" i="2"/>
  <c r="D64" i="2"/>
  <c r="G64" i="2" s="1"/>
  <c r="H64" i="2" s="1"/>
  <c r="I66" i="2"/>
  <c r="C66" i="2"/>
  <c r="C68" i="2"/>
  <c r="I86" i="2"/>
  <c r="G96" i="2"/>
  <c r="H96" i="2" s="1"/>
  <c r="G113" i="2"/>
  <c r="H113" i="2" s="1"/>
  <c r="E70" i="2"/>
  <c r="D70" i="2"/>
  <c r="G70" i="2" s="1"/>
  <c r="H70" i="2" s="1"/>
  <c r="E86" i="2"/>
  <c r="D86" i="2"/>
  <c r="G86" i="2" s="1"/>
  <c r="H86" i="2" s="1"/>
  <c r="I102" i="2"/>
  <c r="I15" i="2"/>
  <c r="D20" i="2"/>
  <c r="G20" i="2" s="1"/>
  <c r="H20" i="2" s="1"/>
  <c r="I27" i="2"/>
  <c r="D48" i="2"/>
  <c r="G48" i="2" s="1"/>
  <c r="H48" i="2" s="1"/>
  <c r="I50" i="2"/>
  <c r="D61" i="2"/>
  <c r="G61" i="2" s="1"/>
  <c r="H61" i="2" s="1"/>
  <c r="C63" i="2"/>
  <c r="I74" i="2"/>
  <c r="C102" i="2"/>
  <c r="G108" i="2"/>
  <c r="H108" i="2" s="1"/>
  <c r="I39" i="2"/>
  <c r="I54" i="2"/>
  <c r="E57" i="2"/>
  <c r="D57" i="2"/>
  <c r="G57" i="2" s="1"/>
  <c r="H57" i="2" s="1"/>
  <c r="I68" i="2"/>
  <c r="G72" i="2"/>
  <c r="H72" i="2" s="1"/>
  <c r="C74" i="2"/>
  <c r="E114" i="2"/>
  <c r="D114" i="2"/>
  <c r="G114" i="2" s="1"/>
  <c r="H114" i="2" s="1"/>
  <c r="E118" i="2"/>
  <c r="D118" i="2"/>
  <c r="G118" i="2" s="1"/>
  <c r="H118" i="2" s="1"/>
  <c r="G122" i="2"/>
  <c r="H122" i="2" s="1"/>
  <c r="I57" i="2"/>
  <c r="I69" i="2"/>
  <c r="I81" i="2"/>
  <c r="I93" i="2"/>
  <c r="I100" i="2"/>
  <c r="I113" i="2"/>
  <c r="I158" i="2"/>
  <c r="C158" i="2"/>
  <c r="I161" i="2"/>
  <c r="C161" i="2"/>
  <c r="I165" i="2"/>
  <c r="C165" i="2"/>
  <c r="E184" i="2"/>
  <c r="D184" i="2"/>
  <c r="G184" i="2" s="1"/>
  <c r="H184" i="2" s="1"/>
  <c r="I70" i="2"/>
  <c r="I82" i="2"/>
  <c r="I126" i="2"/>
  <c r="C126" i="2"/>
  <c r="E147" i="2"/>
  <c r="D147" i="2"/>
  <c r="G147" i="2" s="1"/>
  <c r="H147" i="2" s="1"/>
  <c r="E117" i="2"/>
  <c r="D117" i="2"/>
  <c r="I118" i="2"/>
  <c r="I155" i="2"/>
  <c r="D89" i="2"/>
  <c r="G89" i="2" s="1"/>
  <c r="H89" i="2" s="1"/>
  <c r="C90" i="2"/>
  <c r="C98" i="2"/>
  <c r="D99" i="2"/>
  <c r="G99" i="2" s="1"/>
  <c r="H99" i="2" s="1"/>
  <c r="I112" i="2"/>
  <c r="G137" i="2"/>
  <c r="H137" i="2" s="1"/>
  <c r="J137" i="2" s="1"/>
  <c r="K137" i="2" s="1"/>
  <c r="D151" i="2"/>
  <c r="G151" i="2" s="1"/>
  <c r="H151" i="2" s="1"/>
  <c r="C155" i="2"/>
  <c r="C159" i="2"/>
  <c r="I159" i="2"/>
  <c r="I162" i="2"/>
  <c r="C162" i="2"/>
  <c r="I166" i="2"/>
  <c r="C166" i="2"/>
  <c r="I209" i="2"/>
  <c r="C209" i="2"/>
  <c r="E128" i="2"/>
  <c r="D128" i="2"/>
  <c r="G128" i="2" s="1"/>
  <c r="H128" i="2" s="1"/>
  <c r="E145" i="2"/>
  <c r="D145" i="2"/>
  <c r="G145" i="2" s="1"/>
  <c r="H145" i="2" s="1"/>
  <c r="I190" i="2"/>
  <c r="C190" i="2"/>
  <c r="E202" i="2"/>
  <c r="D202" i="2"/>
  <c r="D79" i="2"/>
  <c r="G79" i="2" s="1"/>
  <c r="H79" i="2" s="1"/>
  <c r="D91" i="2"/>
  <c r="G91" i="2" s="1"/>
  <c r="H91" i="2" s="1"/>
  <c r="D97" i="2"/>
  <c r="G97" i="2" s="1"/>
  <c r="H97" i="2" s="1"/>
  <c r="D107" i="2"/>
  <c r="G107" i="2" s="1"/>
  <c r="H107" i="2" s="1"/>
  <c r="D112" i="2"/>
  <c r="G112" i="2" s="1"/>
  <c r="H112" i="2" s="1"/>
  <c r="D116" i="2"/>
  <c r="G116" i="2" s="1"/>
  <c r="H116" i="2" s="1"/>
  <c r="D123" i="2"/>
  <c r="G123" i="2" s="1"/>
  <c r="H123" i="2" s="1"/>
  <c r="E130" i="2"/>
  <c r="D130" i="2"/>
  <c r="G130" i="2" s="1"/>
  <c r="H130" i="2" s="1"/>
  <c r="G149" i="2"/>
  <c r="H149" i="2" s="1"/>
  <c r="I152" i="2"/>
  <c r="I156" i="2"/>
  <c r="D185" i="2"/>
  <c r="G185" i="2" s="1"/>
  <c r="H185" i="2" s="1"/>
  <c r="I125" i="2"/>
  <c r="E152" i="2"/>
  <c r="D152" i="2"/>
  <c r="G152" i="2" s="1"/>
  <c r="H152" i="2" s="1"/>
  <c r="E156" i="2"/>
  <c r="D156" i="2"/>
  <c r="I163" i="2"/>
  <c r="C163" i="2"/>
  <c r="I167" i="2"/>
  <c r="C167" i="2"/>
  <c r="C191" i="2"/>
  <c r="I191" i="2"/>
  <c r="I237" i="2"/>
  <c r="C237" i="2"/>
  <c r="D69" i="2"/>
  <c r="G69" i="2" s="1"/>
  <c r="H69" i="2" s="1"/>
  <c r="D81" i="2"/>
  <c r="G81" i="2" s="1"/>
  <c r="H81" i="2" s="1"/>
  <c r="D93" i="2"/>
  <c r="G93" i="2" s="1"/>
  <c r="H93" i="2" s="1"/>
  <c r="E94" i="2"/>
  <c r="G94" i="2" s="1"/>
  <c r="H94" i="2" s="1"/>
  <c r="E106" i="2"/>
  <c r="G106" i="2" s="1"/>
  <c r="H106" i="2" s="1"/>
  <c r="C111" i="2"/>
  <c r="E119" i="2"/>
  <c r="G119" i="2" s="1"/>
  <c r="H119" i="2" s="1"/>
  <c r="C125" i="2"/>
  <c r="M138" i="2"/>
  <c r="I140" i="2"/>
  <c r="L140" i="2" s="1"/>
  <c r="M140" i="2" s="1"/>
  <c r="I77" i="2"/>
  <c r="I89" i="2"/>
  <c r="I99" i="2"/>
  <c r="G115" i="2"/>
  <c r="H115" i="2" s="1"/>
  <c r="I116" i="2"/>
  <c r="E140" i="2"/>
  <c r="D140" i="2"/>
  <c r="G140" i="2" s="1"/>
  <c r="H140" i="2" s="1"/>
  <c r="J140" i="2" s="1"/>
  <c r="I153" i="2"/>
  <c r="I98" i="2"/>
  <c r="E105" i="2"/>
  <c r="D105" i="2"/>
  <c r="I110" i="2"/>
  <c r="G138" i="2"/>
  <c r="H138" i="2" s="1"/>
  <c r="J138" i="2" s="1"/>
  <c r="K138" i="2" s="1"/>
  <c r="G150" i="2"/>
  <c r="H150" i="2" s="1"/>
  <c r="C153" i="2"/>
  <c r="I157" i="2"/>
  <c r="C157" i="2"/>
  <c r="I164" i="2"/>
  <c r="C164" i="2"/>
  <c r="I168" i="2"/>
  <c r="C168" i="2"/>
  <c r="I197" i="2"/>
  <c r="C197" i="2"/>
  <c r="D226" i="2"/>
  <c r="G226" i="2" s="1"/>
  <c r="H226" i="2" s="1"/>
  <c r="C221" i="2"/>
  <c r="I221" i="2"/>
  <c r="I224" i="2"/>
  <c r="C224" i="2"/>
  <c r="C142" i="2"/>
  <c r="C169" i="2"/>
  <c r="C170" i="2"/>
  <c r="D171" i="2"/>
  <c r="G171" i="2" s="1"/>
  <c r="H171" i="2" s="1"/>
  <c r="G183" i="2"/>
  <c r="H183" i="2" s="1"/>
  <c r="I199" i="2"/>
  <c r="C199" i="2"/>
  <c r="C207" i="2"/>
  <c r="I207" i="2"/>
  <c r="C143" i="2"/>
  <c r="D172" i="2"/>
  <c r="G172" i="2" s="1"/>
  <c r="H172" i="2" s="1"/>
  <c r="D173" i="2"/>
  <c r="G173" i="2" s="1"/>
  <c r="H173" i="2" s="1"/>
  <c r="D174" i="2"/>
  <c r="G174" i="2" s="1"/>
  <c r="H174" i="2" s="1"/>
  <c r="D175" i="2"/>
  <c r="G175" i="2" s="1"/>
  <c r="H175" i="2" s="1"/>
  <c r="D176" i="2"/>
  <c r="G176" i="2" s="1"/>
  <c r="H176" i="2" s="1"/>
  <c r="D177" i="2"/>
  <c r="G177" i="2" s="1"/>
  <c r="H177" i="2" s="1"/>
  <c r="D178" i="2"/>
  <c r="G178" i="2" s="1"/>
  <c r="H178" i="2" s="1"/>
  <c r="D179" i="2"/>
  <c r="G179" i="2" s="1"/>
  <c r="H179" i="2" s="1"/>
  <c r="D180" i="2"/>
  <c r="G180" i="2" s="1"/>
  <c r="H180" i="2" s="1"/>
  <c r="C181" i="2"/>
  <c r="C182" i="2"/>
  <c r="C189" i="2"/>
  <c r="E194" i="2"/>
  <c r="G194" i="2" s="1"/>
  <c r="H194" i="2" s="1"/>
  <c r="G233" i="2"/>
  <c r="H233" i="2" s="1"/>
  <c r="E238" i="2"/>
  <c r="D238" i="2"/>
  <c r="G246" i="2"/>
  <c r="H246" i="2" s="1"/>
  <c r="I122" i="2"/>
  <c r="I139" i="2"/>
  <c r="L139" i="2" s="1"/>
  <c r="M139" i="2" s="1"/>
  <c r="D144" i="2"/>
  <c r="G144" i="2" s="1"/>
  <c r="H144" i="2" s="1"/>
  <c r="I151" i="2"/>
  <c r="C203" i="2"/>
  <c r="I203" i="2"/>
  <c r="D205" i="2"/>
  <c r="G205" i="2" s="1"/>
  <c r="H205" i="2" s="1"/>
  <c r="G212" i="2"/>
  <c r="H212" i="2" s="1"/>
  <c r="E214" i="2"/>
  <c r="D214" i="2"/>
  <c r="G214" i="2" s="1"/>
  <c r="H214" i="2" s="1"/>
  <c r="C219" i="2"/>
  <c r="I219" i="2"/>
  <c r="C222" i="2"/>
  <c r="I222" i="2"/>
  <c r="D227" i="2"/>
  <c r="G227" i="2" s="1"/>
  <c r="H227" i="2" s="1"/>
  <c r="E243" i="2"/>
  <c r="D243" i="2"/>
  <c r="I187" i="2"/>
  <c r="C187" i="2"/>
  <c r="G196" i="2"/>
  <c r="H196" i="2" s="1"/>
  <c r="D129" i="2"/>
  <c r="G129" i="2" s="1"/>
  <c r="H129" i="2" s="1"/>
  <c r="D146" i="2"/>
  <c r="G146" i="2" s="1"/>
  <c r="H146" i="2" s="1"/>
  <c r="I169" i="2"/>
  <c r="I170" i="2"/>
  <c r="I171" i="2"/>
  <c r="I178" i="2"/>
  <c r="I179" i="2"/>
  <c r="D193" i="2"/>
  <c r="G193" i="2" s="1"/>
  <c r="H193" i="2" s="1"/>
  <c r="E225" i="2"/>
  <c r="G225" i="2" s="1"/>
  <c r="H225" i="2" s="1"/>
  <c r="I142" i="2"/>
  <c r="L142" i="2" s="1"/>
  <c r="I173" i="2"/>
  <c r="I174" i="2"/>
  <c r="I175" i="2"/>
  <c r="I176" i="2"/>
  <c r="I180" i="2"/>
  <c r="I181" i="2"/>
  <c r="I182" i="2"/>
  <c r="I198" i="2"/>
  <c r="E208" i="2"/>
  <c r="D208" i="2"/>
  <c r="D217" i="2"/>
  <c r="G217" i="2" s="1"/>
  <c r="H217" i="2" s="1"/>
  <c r="I239" i="2"/>
  <c r="C239" i="2"/>
  <c r="I244" i="2"/>
  <c r="C244" i="2"/>
  <c r="I143" i="2"/>
  <c r="C195" i="2"/>
  <c r="C198" i="2"/>
  <c r="G206" i="2"/>
  <c r="H206" i="2" s="1"/>
  <c r="C215" i="2"/>
  <c r="I215" i="2"/>
  <c r="C220" i="2"/>
  <c r="I220" i="2"/>
  <c r="I223" i="2"/>
  <c r="C223" i="2"/>
  <c r="E232" i="2"/>
  <c r="D232" i="2"/>
  <c r="G200" i="2"/>
  <c r="H200" i="2" s="1"/>
  <c r="E228" i="2"/>
  <c r="D228" i="2"/>
  <c r="G228" i="2" s="1"/>
  <c r="H228" i="2" s="1"/>
  <c r="G230" i="2"/>
  <c r="H230" i="2" s="1"/>
  <c r="E248" i="2"/>
  <c r="D248" i="2"/>
  <c r="G248" i="2" s="1"/>
  <c r="H248" i="2" s="1"/>
  <c r="C245" i="2"/>
  <c r="I245" i="2"/>
  <c r="G256" i="2"/>
  <c r="H256" i="2" s="1"/>
  <c r="I235" i="2"/>
  <c r="I193" i="2"/>
  <c r="I205" i="2"/>
  <c r="D210" i="2"/>
  <c r="G210" i="2" s="1"/>
  <c r="H210" i="2" s="1"/>
  <c r="C211" i="2"/>
  <c r="I217" i="2"/>
  <c r="C235" i="2"/>
  <c r="D236" i="2"/>
  <c r="G236" i="2" s="1"/>
  <c r="H236" i="2" s="1"/>
  <c r="I247" i="2"/>
  <c r="C250" i="2"/>
  <c r="E253" i="2"/>
  <c r="G253" i="2" s="1"/>
  <c r="H253" i="2" s="1"/>
  <c r="C247" i="2"/>
  <c r="G241" i="2"/>
  <c r="H241" i="2" s="1"/>
  <c r="E11" i="3"/>
  <c r="D11" i="3"/>
  <c r="G11" i="3" s="1"/>
  <c r="H11" i="3" s="1"/>
  <c r="I11" i="3" s="1"/>
  <c r="B12" i="3" s="1"/>
  <c r="E252" i="2"/>
  <c r="D252" i="2"/>
  <c r="I210" i="2"/>
  <c r="D231" i="2"/>
  <c r="G231" i="2" s="1"/>
  <c r="H231" i="2" s="1"/>
  <c r="E240" i="2"/>
  <c r="D240" i="2"/>
  <c r="G240" i="2" s="1"/>
  <c r="H240" i="2" s="1"/>
  <c r="C249" i="2"/>
  <c r="I233" i="2"/>
  <c r="I240" i="2"/>
  <c r="I248" i="2"/>
  <c r="I256" i="2"/>
  <c r="C251" i="2"/>
  <c r="I257" i="2"/>
  <c r="I246" i="2"/>
  <c r="I258" i="2"/>
  <c r="D137" i="3"/>
  <c r="E137" i="3" s="1"/>
  <c r="F137" i="3" s="1"/>
  <c r="Y24" i="1" l="1"/>
  <c r="AH111" i="1"/>
  <c r="AG111" i="1"/>
  <c r="N20" i="1"/>
  <c r="V42" i="1"/>
  <c r="Y25" i="1"/>
  <c r="AH112" i="1"/>
  <c r="AG112" i="1"/>
  <c r="V43" i="1"/>
  <c r="N21" i="1"/>
  <c r="N19" i="1"/>
  <c r="AH110" i="1"/>
  <c r="Y23" i="1"/>
  <c r="AG110" i="1"/>
  <c r="V41" i="1"/>
  <c r="V40" i="1"/>
  <c r="N18" i="1"/>
  <c r="AH109" i="1"/>
  <c r="AG109" i="1"/>
  <c r="AG113" i="1" s="1"/>
  <c r="K43" i="1"/>
  <c r="Y22" i="1"/>
  <c r="C12" i="3"/>
  <c r="J12" i="3"/>
  <c r="E211" i="2"/>
  <c r="D211" i="2"/>
  <c r="G252" i="2"/>
  <c r="H252" i="2" s="1"/>
  <c r="G232" i="2"/>
  <c r="H232" i="2" s="1"/>
  <c r="E215" i="2"/>
  <c r="D215" i="2"/>
  <c r="G215" i="2" s="1"/>
  <c r="H215" i="2" s="1"/>
  <c r="E187" i="2"/>
  <c r="D187" i="2"/>
  <c r="G187" i="2" s="1"/>
  <c r="H187" i="2" s="1"/>
  <c r="E207" i="2"/>
  <c r="D207" i="2"/>
  <c r="G207" i="2" s="1"/>
  <c r="H207" i="2" s="1"/>
  <c r="J139" i="2"/>
  <c r="K139" i="2" s="1"/>
  <c r="K140" i="2" s="1"/>
  <c r="E166" i="2"/>
  <c r="D166" i="2"/>
  <c r="E155" i="2"/>
  <c r="D155" i="2"/>
  <c r="E51" i="2"/>
  <c r="D51" i="2"/>
  <c r="G51" i="2" s="1"/>
  <c r="H51" i="2" s="1"/>
  <c r="E25" i="2"/>
  <c r="D25" i="2"/>
  <c r="G25" i="2" s="1"/>
  <c r="H25" i="2" s="1"/>
  <c r="E181" i="2"/>
  <c r="D181" i="2"/>
  <c r="G181" i="2" s="1"/>
  <c r="H181" i="2" s="1"/>
  <c r="E159" i="2"/>
  <c r="D159" i="2"/>
  <c r="D158" i="2"/>
  <c r="G158" i="2" s="1"/>
  <c r="H158" i="2" s="1"/>
  <c r="E158" i="2"/>
  <c r="D75" i="2"/>
  <c r="G75" i="2" s="1"/>
  <c r="H75" i="2" s="1"/>
  <c r="E75" i="2"/>
  <c r="E219" i="2"/>
  <c r="D219" i="2"/>
  <c r="G219" i="2" s="1"/>
  <c r="H219" i="2" s="1"/>
  <c r="D199" i="2"/>
  <c r="G199" i="2" s="1"/>
  <c r="H199" i="2" s="1"/>
  <c r="E199" i="2"/>
  <c r="E221" i="2"/>
  <c r="D221" i="2"/>
  <c r="E164" i="2"/>
  <c r="D164" i="2"/>
  <c r="G164" i="2" s="1"/>
  <c r="H164" i="2" s="1"/>
  <c r="E167" i="2"/>
  <c r="D167" i="2"/>
  <c r="E90" i="2"/>
  <c r="D90" i="2"/>
  <c r="E74" i="2"/>
  <c r="D74" i="2"/>
  <c r="E124" i="2"/>
  <c r="D124" i="2"/>
  <c r="G124" i="2" s="1"/>
  <c r="H124" i="2" s="1"/>
  <c r="E198" i="2"/>
  <c r="D198" i="2"/>
  <c r="G198" i="2" s="1"/>
  <c r="H198" i="2" s="1"/>
  <c r="G19" i="2"/>
  <c r="H19" i="2" s="1"/>
  <c r="E245" i="2"/>
  <c r="D245" i="2"/>
  <c r="G245" i="2" s="1"/>
  <c r="H245" i="2" s="1"/>
  <c r="G243" i="2"/>
  <c r="H243" i="2" s="1"/>
  <c r="E165" i="2"/>
  <c r="D165" i="2"/>
  <c r="E30" i="2"/>
  <c r="D30" i="2"/>
  <c r="G80" i="2"/>
  <c r="H80" i="2" s="1"/>
  <c r="E13" i="2"/>
  <c r="D13" i="2"/>
  <c r="G13" i="2" s="1"/>
  <c r="H13" i="2" s="1"/>
  <c r="J13" i="2" s="1"/>
  <c r="D244" i="2"/>
  <c r="E244" i="2"/>
  <c r="D182" i="2"/>
  <c r="G182" i="2" s="1"/>
  <c r="H182" i="2" s="1"/>
  <c r="E182" i="2"/>
  <c r="E41" i="2"/>
  <c r="D41" i="2"/>
  <c r="E235" i="2"/>
  <c r="D235" i="2"/>
  <c r="E223" i="2"/>
  <c r="D223" i="2"/>
  <c r="G223" i="2" s="1"/>
  <c r="H223" i="2" s="1"/>
  <c r="D195" i="2"/>
  <c r="E195" i="2"/>
  <c r="E239" i="2"/>
  <c r="D239" i="2"/>
  <c r="G105" i="2"/>
  <c r="H105" i="2" s="1"/>
  <c r="E237" i="2"/>
  <c r="D237" i="2"/>
  <c r="G202" i="2"/>
  <c r="H202" i="2" s="1"/>
  <c r="E162" i="2"/>
  <c r="D162" i="2"/>
  <c r="G162" i="2" s="1"/>
  <c r="H162" i="2" s="1"/>
  <c r="D63" i="2"/>
  <c r="E63" i="2"/>
  <c r="G218" i="2"/>
  <c r="H218" i="2" s="1"/>
  <c r="E29" i="2"/>
  <c r="D29" i="2"/>
  <c r="G29" i="2" s="1"/>
  <c r="H29" i="2" s="1"/>
  <c r="D65" i="2"/>
  <c r="E65" i="2"/>
  <c r="A144" i="2"/>
  <c r="J144" i="2" s="1"/>
  <c r="L143" i="2"/>
  <c r="E203" i="2"/>
  <c r="D203" i="2"/>
  <c r="M141" i="2"/>
  <c r="M142" i="2" s="1"/>
  <c r="D50" i="2"/>
  <c r="E50" i="2"/>
  <c r="D170" i="2"/>
  <c r="E170" i="2"/>
  <c r="E197" i="2"/>
  <c r="D197" i="2"/>
  <c r="E157" i="2"/>
  <c r="D157" i="2"/>
  <c r="E163" i="2"/>
  <c r="D163" i="2"/>
  <c r="G163" i="2" s="1"/>
  <c r="H163" i="2" s="1"/>
  <c r="E54" i="2"/>
  <c r="D54" i="2"/>
  <c r="G54" i="2" s="1"/>
  <c r="H54" i="2" s="1"/>
  <c r="E101" i="2"/>
  <c r="D101" i="2"/>
  <c r="G101" i="2" s="1"/>
  <c r="H101" i="2" s="1"/>
  <c r="E78" i="2"/>
  <c r="D78" i="2"/>
  <c r="E250" i="2"/>
  <c r="D250" i="2"/>
  <c r="E102" i="2"/>
  <c r="D102" i="2"/>
  <c r="E154" i="2"/>
  <c r="D154" i="2"/>
  <c r="C137" i="3"/>
  <c r="B138" i="3" s="1"/>
  <c r="E249" i="2"/>
  <c r="D249" i="2"/>
  <c r="E169" i="2"/>
  <c r="D169" i="2"/>
  <c r="G169" i="2" s="1"/>
  <c r="H169" i="2" s="1"/>
  <c r="E125" i="2"/>
  <c r="D125" i="2"/>
  <c r="G125" i="2" s="1"/>
  <c r="H125" i="2" s="1"/>
  <c r="E190" i="2"/>
  <c r="D190" i="2"/>
  <c r="G190" i="2" s="1"/>
  <c r="H190" i="2" s="1"/>
  <c r="E209" i="2"/>
  <c r="D209" i="2"/>
  <c r="G209" i="2" s="1"/>
  <c r="H209" i="2" s="1"/>
  <c r="E49" i="2"/>
  <c r="D49" i="2"/>
  <c r="E44" i="2"/>
  <c r="D44" i="2"/>
  <c r="E56" i="2"/>
  <c r="D56" i="2"/>
  <c r="E66" i="2"/>
  <c r="D66" i="2"/>
  <c r="G66" i="2" s="1"/>
  <c r="H66" i="2" s="1"/>
  <c r="E191" i="2"/>
  <c r="D191" i="2"/>
  <c r="M13" i="2"/>
  <c r="M14" i="2" s="1"/>
  <c r="E220" i="2"/>
  <c r="D220" i="2"/>
  <c r="E142" i="2"/>
  <c r="D142" i="2"/>
  <c r="E126" i="2"/>
  <c r="D126" i="2"/>
  <c r="G126" i="2" s="1"/>
  <c r="H126" i="2" s="1"/>
  <c r="E161" i="2"/>
  <c r="D161" i="2"/>
  <c r="D62" i="2"/>
  <c r="E62" i="2"/>
  <c r="E43" i="2"/>
  <c r="D43" i="2"/>
  <c r="E141" i="2"/>
  <c r="D141" i="2"/>
  <c r="E87" i="2"/>
  <c r="D87" i="2"/>
  <c r="G87" i="2" s="1"/>
  <c r="H87" i="2" s="1"/>
  <c r="G21" i="2"/>
  <c r="H21" i="2" s="1"/>
  <c r="A16" i="2"/>
  <c r="L15" i="2"/>
  <c r="E98" i="2"/>
  <c r="D98" i="2"/>
  <c r="G98" i="2" s="1"/>
  <c r="H98" i="2" s="1"/>
  <c r="E68" i="2"/>
  <c r="D68" i="2"/>
  <c r="E39" i="2"/>
  <c r="D39" i="2"/>
  <c r="G39" i="2" s="1"/>
  <c r="H39" i="2" s="1"/>
  <c r="E12" i="2"/>
  <c r="D12" i="2"/>
  <c r="G12" i="2" s="1"/>
  <c r="H12" i="2" s="1"/>
  <c r="J12" i="2" s="1"/>
  <c r="K12" i="2" s="1"/>
  <c r="E251" i="2"/>
  <c r="D251" i="2"/>
  <c r="G251" i="2" s="1"/>
  <c r="H251" i="2" s="1"/>
  <c r="K11" i="3"/>
  <c r="L11" i="3" s="1"/>
  <c r="E247" i="2"/>
  <c r="D247" i="2"/>
  <c r="G247" i="2" s="1"/>
  <c r="H247" i="2" s="1"/>
  <c r="G208" i="2"/>
  <c r="H208" i="2" s="1"/>
  <c r="E222" i="2"/>
  <c r="D222" i="2"/>
  <c r="G222" i="2" s="1"/>
  <c r="H222" i="2" s="1"/>
  <c r="G238" i="2"/>
  <c r="H238" i="2" s="1"/>
  <c r="E189" i="2"/>
  <c r="D189" i="2"/>
  <c r="E143" i="2"/>
  <c r="D143" i="2"/>
  <c r="G143" i="2" s="1"/>
  <c r="H143" i="2" s="1"/>
  <c r="J143" i="2" s="1"/>
  <c r="E224" i="2"/>
  <c r="D224" i="2"/>
  <c r="G224" i="2" s="1"/>
  <c r="H224" i="2" s="1"/>
  <c r="E168" i="2"/>
  <c r="D168" i="2"/>
  <c r="G168" i="2" s="1"/>
  <c r="H168" i="2" s="1"/>
  <c r="E153" i="2"/>
  <c r="D153" i="2"/>
  <c r="E111" i="2"/>
  <c r="D111" i="2"/>
  <c r="G111" i="2" s="1"/>
  <c r="H111" i="2" s="1"/>
  <c r="G156" i="2"/>
  <c r="H156" i="2" s="1"/>
  <c r="G117" i="2"/>
  <c r="H117" i="2" s="1"/>
  <c r="G77" i="2"/>
  <c r="H77" i="2" s="1"/>
  <c r="E24" i="2"/>
  <c r="D24" i="2"/>
  <c r="G24" i="2" s="1"/>
  <c r="H24" i="2" s="1"/>
  <c r="G31" i="2"/>
  <c r="H31" i="2" s="1"/>
  <c r="Y26" i="1" l="1"/>
  <c r="AM109" i="1"/>
  <c r="AN109" i="1"/>
  <c r="AJ112" i="1"/>
  <c r="AI112" i="1"/>
  <c r="Y54" i="1"/>
  <c r="V72" i="1"/>
  <c r="AH113" i="1"/>
  <c r="AM112" i="1"/>
  <c r="AN112" i="1"/>
  <c r="N22" i="1"/>
  <c r="AJ111" i="1"/>
  <c r="AI111" i="1"/>
  <c r="Y53" i="1"/>
  <c r="V71" i="1"/>
  <c r="Y51" i="1"/>
  <c r="AJ109" i="1"/>
  <c r="AI109" i="1"/>
  <c r="V44" i="1"/>
  <c r="V69" i="1"/>
  <c r="AJ110" i="1"/>
  <c r="AI110" i="1"/>
  <c r="Y52" i="1"/>
  <c r="V70" i="1"/>
  <c r="AM110" i="1"/>
  <c r="AN110" i="1"/>
  <c r="AM111" i="1"/>
  <c r="AN111" i="1"/>
  <c r="G161" i="2"/>
  <c r="H161" i="2" s="1"/>
  <c r="G49" i="2"/>
  <c r="H49" i="2" s="1"/>
  <c r="G249" i="2"/>
  <c r="H249" i="2" s="1"/>
  <c r="G78" i="2"/>
  <c r="H78" i="2" s="1"/>
  <c r="G197" i="2"/>
  <c r="H197" i="2" s="1"/>
  <c r="G65" i="2"/>
  <c r="H65" i="2" s="1"/>
  <c r="G239" i="2"/>
  <c r="H239" i="2" s="1"/>
  <c r="G90" i="2"/>
  <c r="H90" i="2" s="1"/>
  <c r="G166" i="2"/>
  <c r="H166" i="2" s="1"/>
  <c r="G211" i="2"/>
  <c r="H211" i="2" s="1"/>
  <c r="A17" i="2"/>
  <c r="L16" i="2"/>
  <c r="G191" i="2"/>
  <c r="H191" i="2" s="1"/>
  <c r="E138" i="3"/>
  <c r="F138" i="3" s="1"/>
  <c r="C138" i="3"/>
  <c r="B139" i="3" s="1"/>
  <c r="D138" i="3"/>
  <c r="E12" i="3"/>
  <c r="D12" i="3"/>
  <c r="G12" i="3" s="1"/>
  <c r="H12" i="3" s="1"/>
  <c r="G189" i="2"/>
  <c r="H189" i="2" s="1"/>
  <c r="G68" i="2"/>
  <c r="H68" i="2" s="1"/>
  <c r="G141" i="2"/>
  <c r="H141" i="2" s="1"/>
  <c r="J141" i="2" s="1"/>
  <c r="K141" i="2" s="1"/>
  <c r="G154" i="2"/>
  <c r="H154" i="2" s="1"/>
  <c r="G170" i="2"/>
  <c r="H170" i="2" s="1"/>
  <c r="G195" i="2"/>
  <c r="H195" i="2" s="1"/>
  <c r="G244" i="2"/>
  <c r="H244" i="2" s="1"/>
  <c r="K13" i="2"/>
  <c r="K14" i="2" s="1"/>
  <c r="K15" i="2" s="1"/>
  <c r="G43" i="2"/>
  <c r="H43" i="2" s="1"/>
  <c r="G142" i="2"/>
  <c r="H142" i="2" s="1"/>
  <c r="J142" i="2" s="1"/>
  <c r="K142" i="2" s="1"/>
  <c r="G102" i="2"/>
  <c r="H102" i="2" s="1"/>
  <c r="G50" i="2"/>
  <c r="H50" i="2" s="1"/>
  <c r="G63" i="2"/>
  <c r="H63" i="2" s="1"/>
  <c r="G167" i="2"/>
  <c r="H167" i="2" s="1"/>
  <c r="G153" i="2"/>
  <c r="H153" i="2" s="1"/>
  <c r="G56" i="2"/>
  <c r="H56" i="2" s="1"/>
  <c r="G250" i="2"/>
  <c r="H250" i="2" s="1"/>
  <c r="G203" i="2"/>
  <c r="H203" i="2" s="1"/>
  <c r="G235" i="2"/>
  <c r="H235" i="2" s="1"/>
  <c r="G30" i="2"/>
  <c r="H30" i="2" s="1"/>
  <c r="K143" i="2"/>
  <c r="K144" i="2" s="1"/>
  <c r="G62" i="2"/>
  <c r="H62" i="2" s="1"/>
  <c r="G220" i="2"/>
  <c r="H220" i="2" s="1"/>
  <c r="G44" i="2"/>
  <c r="H44" i="2" s="1"/>
  <c r="M143" i="2"/>
  <c r="G237" i="2"/>
  <c r="H237" i="2" s="1"/>
  <c r="G74" i="2"/>
  <c r="H74" i="2" s="1"/>
  <c r="G159" i="2"/>
  <c r="H159" i="2" s="1"/>
  <c r="M15" i="2"/>
  <c r="J16" i="2"/>
  <c r="G157" i="2"/>
  <c r="H157" i="2" s="1"/>
  <c r="A145" i="2"/>
  <c r="L144" i="2"/>
  <c r="M144" i="2" s="1"/>
  <c r="G41" i="2"/>
  <c r="H41" i="2" s="1"/>
  <c r="G165" i="2"/>
  <c r="H165" i="2" s="1"/>
  <c r="G221" i="2"/>
  <c r="H221" i="2" s="1"/>
  <c r="G155" i="2"/>
  <c r="H155" i="2" s="1"/>
  <c r="AC120" i="1" l="1"/>
  <c r="AD120" i="1"/>
  <c r="AL112" i="1"/>
  <c r="AK112" i="1"/>
  <c r="Y84" i="1"/>
  <c r="W103" i="1"/>
  <c r="AI113" i="1"/>
  <c r="AD122" i="1"/>
  <c r="AC122" i="1"/>
  <c r="AJ113" i="1"/>
  <c r="AC119" i="1"/>
  <c r="AC123" i="1" s="1"/>
  <c r="Y55" i="1"/>
  <c r="AD119" i="1"/>
  <c r="AL110" i="1"/>
  <c r="AK110" i="1"/>
  <c r="Y82" i="1"/>
  <c r="W101" i="1"/>
  <c r="AL111" i="1"/>
  <c r="AK111" i="1"/>
  <c r="Y83" i="1"/>
  <c r="W102" i="1"/>
  <c r="AN113" i="1"/>
  <c r="AL109" i="1"/>
  <c r="AL113" i="1" s="1"/>
  <c r="AK109" i="1"/>
  <c r="AK113" i="1" s="1"/>
  <c r="Y81" i="1"/>
  <c r="V73" i="1"/>
  <c r="W100" i="1"/>
  <c r="AC121" i="1"/>
  <c r="AD121" i="1"/>
  <c r="AM113" i="1"/>
  <c r="D139" i="3"/>
  <c r="E139" i="3" s="1"/>
  <c r="F139" i="3" s="1"/>
  <c r="C139" i="3"/>
  <c r="B140" i="3" s="1"/>
  <c r="A146" i="2"/>
  <c r="L145" i="2"/>
  <c r="M145" i="2" s="1"/>
  <c r="J145" i="2"/>
  <c r="K145" i="2" s="1"/>
  <c r="I12" i="3"/>
  <c r="B13" i="3" s="1"/>
  <c r="K12" i="3"/>
  <c r="L12" i="3" s="1"/>
  <c r="K16" i="2"/>
  <c r="M16" i="2"/>
  <c r="A18" i="2"/>
  <c r="L17" i="2"/>
  <c r="J17" i="2"/>
  <c r="W119" i="1" l="1"/>
  <c r="P119" i="1"/>
  <c r="AH122" i="1"/>
  <c r="AG122" i="1"/>
  <c r="AF121" i="1"/>
  <c r="AE121" i="1"/>
  <c r="W117" i="1"/>
  <c r="P117" i="1"/>
  <c r="AH120" i="1"/>
  <c r="AG120" i="1"/>
  <c r="AE122" i="1"/>
  <c r="AF122" i="1"/>
  <c r="AF120" i="1"/>
  <c r="AE120" i="1"/>
  <c r="W104" i="1"/>
  <c r="AH119" i="1"/>
  <c r="AG119" i="1"/>
  <c r="W116" i="1"/>
  <c r="P116" i="1"/>
  <c r="W118" i="1"/>
  <c r="P118" i="1"/>
  <c r="AH121" i="1"/>
  <c r="AG121" i="1"/>
  <c r="Y85" i="1"/>
  <c r="AF119" i="1"/>
  <c r="AE119" i="1"/>
  <c r="AD123" i="1"/>
  <c r="D140" i="3"/>
  <c r="E140" i="3" s="1"/>
  <c r="F140" i="3" s="1"/>
  <c r="C13" i="3"/>
  <c r="J13" i="3"/>
  <c r="A147" i="2"/>
  <c r="L146" i="2"/>
  <c r="M146" i="2" s="1"/>
  <c r="J146" i="2"/>
  <c r="K146" i="2" s="1"/>
  <c r="K17" i="2"/>
  <c r="A19" i="2"/>
  <c r="L18" i="2"/>
  <c r="J18" i="2"/>
  <c r="K18" i="2" s="1"/>
  <c r="M17" i="2"/>
  <c r="AL121" i="1" l="1"/>
  <c r="AK121" i="1"/>
  <c r="AL120" i="1"/>
  <c r="AK120" i="1"/>
  <c r="AH123" i="1"/>
  <c r="AG123" i="1"/>
  <c r="P120" i="1"/>
  <c r="AL119" i="1"/>
  <c r="AL123" i="1" s="1"/>
  <c r="AK119" i="1"/>
  <c r="AK123" i="1" s="1"/>
  <c r="AE123" i="1"/>
  <c r="AJ121" i="1"/>
  <c r="AI121" i="1"/>
  <c r="AJ120" i="1"/>
  <c r="AI120" i="1"/>
  <c r="AF123" i="1"/>
  <c r="AL122" i="1"/>
  <c r="AK122" i="1"/>
  <c r="W120" i="1"/>
  <c r="AJ119" i="1"/>
  <c r="AI119" i="1"/>
  <c r="AJ122" i="1"/>
  <c r="AI122" i="1"/>
  <c r="A148" i="2"/>
  <c r="L147" i="2"/>
  <c r="M147" i="2" s="1"/>
  <c r="J147" i="2"/>
  <c r="K147" i="2" s="1"/>
  <c r="E13" i="3"/>
  <c r="D13" i="3"/>
  <c r="G13" i="3" s="1"/>
  <c r="H13" i="3" s="1"/>
  <c r="C140" i="3"/>
  <c r="B141" i="3" s="1"/>
  <c r="M18" i="2"/>
  <c r="A20" i="2"/>
  <c r="L19" i="2"/>
  <c r="M19" i="2" s="1"/>
  <c r="J19" i="2"/>
  <c r="K19" i="2" s="1"/>
  <c r="AJ123" i="1" l="1"/>
  <c r="AO102" i="1" s="1"/>
  <c r="AI123" i="1"/>
  <c r="D141" i="3"/>
  <c r="E141" i="3" s="1"/>
  <c r="F141" i="3" s="1"/>
  <c r="A21" i="2"/>
  <c r="L20" i="2"/>
  <c r="M20" i="2" s="1"/>
  <c r="J20" i="2"/>
  <c r="K20" i="2" s="1"/>
  <c r="A149" i="2"/>
  <c r="L148" i="2"/>
  <c r="M148" i="2" s="1"/>
  <c r="J148" i="2"/>
  <c r="K148" i="2" s="1"/>
  <c r="K13" i="3"/>
  <c r="L13" i="3" s="1"/>
  <c r="I13" i="3"/>
  <c r="B14" i="3" s="1"/>
  <c r="C14" i="3" l="1"/>
  <c r="J14" i="3"/>
  <c r="A150" i="2"/>
  <c r="L149" i="2"/>
  <c r="M149" i="2" s="1"/>
  <c r="J149" i="2"/>
  <c r="K149" i="2" s="1"/>
  <c r="A22" i="2"/>
  <c r="L21" i="2"/>
  <c r="M21" i="2" s="1"/>
  <c r="J21" i="2"/>
  <c r="K21" i="2" s="1"/>
  <c r="C141" i="3"/>
  <c r="B142" i="3" s="1"/>
  <c r="A23" i="2" l="1"/>
  <c r="L22" i="2"/>
  <c r="M22" i="2" s="1"/>
  <c r="J22" i="2"/>
  <c r="K22" i="2" s="1"/>
  <c r="E14" i="3"/>
  <c r="D14" i="3"/>
  <c r="G14" i="3" s="1"/>
  <c r="H14" i="3" s="1"/>
  <c r="A151" i="2"/>
  <c r="L150" i="2"/>
  <c r="M150" i="2" s="1"/>
  <c r="J150" i="2"/>
  <c r="K150" i="2" s="1"/>
  <c r="D142" i="3"/>
  <c r="E142" i="3" s="1"/>
  <c r="F142" i="3" s="1"/>
  <c r="K14" i="3" l="1"/>
  <c r="L14" i="3" s="1"/>
  <c r="I14" i="3"/>
  <c r="B15" i="3" s="1"/>
  <c r="A152" i="2"/>
  <c r="L151" i="2"/>
  <c r="M151" i="2" s="1"/>
  <c r="J151" i="2"/>
  <c r="K151" i="2" s="1"/>
  <c r="C142" i="3"/>
  <c r="B143" i="3" s="1"/>
  <c r="A24" i="2"/>
  <c r="L23" i="2"/>
  <c r="M23" i="2" s="1"/>
  <c r="J23" i="2"/>
  <c r="K23" i="2" s="1"/>
  <c r="A25" i="2" l="1"/>
  <c r="L24" i="2"/>
  <c r="M24" i="2" s="1"/>
  <c r="J24" i="2"/>
  <c r="K24" i="2" s="1"/>
  <c r="D143" i="3"/>
  <c r="E143" i="3" s="1"/>
  <c r="F143" i="3" s="1"/>
  <c r="C143" i="3"/>
  <c r="B144" i="3" s="1"/>
  <c r="A153" i="2"/>
  <c r="L152" i="2"/>
  <c r="M152" i="2" s="1"/>
  <c r="J152" i="2"/>
  <c r="K152" i="2" s="1"/>
  <c r="C15" i="3"/>
  <c r="J15" i="3"/>
  <c r="D144" i="3" l="1"/>
  <c r="E144" i="3" s="1"/>
  <c r="F144" i="3" s="1"/>
  <c r="A154" i="2"/>
  <c r="L153" i="2"/>
  <c r="M153" i="2" s="1"/>
  <c r="J153" i="2"/>
  <c r="K153" i="2" s="1"/>
  <c r="E15" i="3"/>
  <c r="D15" i="3"/>
  <c r="G15" i="3" s="1"/>
  <c r="H15" i="3" s="1"/>
  <c r="A26" i="2"/>
  <c r="L25" i="2"/>
  <c r="M25" i="2" s="1"/>
  <c r="J25" i="2"/>
  <c r="K25" i="2" s="1"/>
  <c r="K15" i="3" l="1"/>
  <c r="L15" i="3" s="1"/>
  <c r="I15" i="3"/>
  <c r="B16" i="3" s="1"/>
  <c r="A27" i="2"/>
  <c r="L26" i="2"/>
  <c r="M26" i="2" s="1"/>
  <c r="J26" i="2"/>
  <c r="K26" i="2" s="1"/>
  <c r="C144" i="3"/>
  <c r="B145" i="3" s="1"/>
  <c r="A155" i="2"/>
  <c r="L154" i="2"/>
  <c r="M154" i="2" s="1"/>
  <c r="J154" i="2"/>
  <c r="K154" i="2" s="1"/>
  <c r="D145" i="3" l="1"/>
  <c r="E145" i="3" s="1"/>
  <c r="F145" i="3" s="1"/>
  <c r="A28" i="2"/>
  <c r="L27" i="2"/>
  <c r="M27" i="2" s="1"/>
  <c r="J27" i="2"/>
  <c r="K27" i="2" s="1"/>
  <c r="A156" i="2"/>
  <c r="L155" i="2"/>
  <c r="M155" i="2" s="1"/>
  <c r="J155" i="2"/>
  <c r="K155" i="2" s="1"/>
  <c r="C16" i="3"/>
  <c r="J16" i="3"/>
  <c r="A29" i="2" l="1"/>
  <c r="L28" i="2"/>
  <c r="M28" i="2" s="1"/>
  <c r="J28" i="2"/>
  <c r="K28" i="2" s="1"/>
  <c r="C145" i="3"/>
  <c r="B146" i="3" s="1"/>
  <c r="E16" i="3"/>
  <c r="D16" i="3"/>
  <c r="G16" i="3" s="1"/>
  <c r="H16" i="3" s="1"/>
  <c r="A157" i="2"/>
  <c r="L156" i="2"/>
  <c r="M156" i="2" s="1"/>
  <c r="J156" i="2"/>
  <c r="K156" i="2" s="1"/>
  <c r="K16" i="3" l="1"/>
  <c r="L16" i="3" s="1"/>
  <c r="I16" i="3"/>
  <c r="B17" i="3" s="1"/>
  <c r="D146" i="3"/>
  <c r="E146" i="3" s="1"/>
  <c r="F146" i="3" s="1"/>
  <c r="A158" i="2"/>
  <c r="L157" i="2"/>
  <c r="M157" i="2" s="1"/>
  <c r="J157" i="2"/>
  <c r="K157" i="2" s="1"/>
  <c r="A30" i="2"/>
  <c r="L29" i="2"/>
  <c r="M29" i="2" s="1"/>
  <c r="J29" i="2"/>
  <c r="K29" i="2" s="1"/>
  <c r="A31" i="2" l="1"/>
  <c r="L30" i="2"/>
  <c r="M30" i="2" s="1"/>
  <c r="J30" i="2"/>
  <c r="K30" i="2" s="1"/>
  <c r="C146" i="3"/>
  <c r="B147" i="3" s="1"/>
  <c r="A159" i="2"/>
  <c r="L158" i="2"/>
  <c r="M158" i="2" s="1"/>
  <c r="J158" i="2"/>
  <c r="K158" i="2" s="1"/>
  <c r="C17" i="3"/>
  <c r="J17" i="3"/>
  <c r="A160" i="2" l="1"/>
  <c r="L159" i="2"/>
  <c r="M159" i="2" s="1"/>
  <c r="J159" i="2"/>
  <c r="K159" i="2" s="1"/>
  <c r="D147" i="3"/>
  <c r="E147" i="3" s="1"/>
  <c r="F147" i="3" s="1"/>
  <c r="A32" i="2"/>
  <c r="L31" i="2"/>
  <c r="M31" i="2" s="1"/>
  <c r="J31" i="2"/>
  <c r="K31" i="2" s="1"/>
  <c r="E17" i="3"/>
  <c r="D17" i="3"/>
  <c r="G17" i="3" s="1"/>
  <c r="H17" i="3" s="1"/>
  <c r="A33" i="2" l="1"/>
  <c r="L32" i="2"/>
  <c r="M32" i="2" s="1"/>
  <c r="J32" i="2"/>
  <c r="K32" i="2" s="1"/>
  <c r="C147" i="3"/>
  <c r="B148" i="3" s="1"/>
  <c r="I17" i="3"/>
  <c r="B18" i="3" s="1"/>
  <c r="K17" i="3"/>
  <c r="L17" i="3" s="1"/>
  <c r="A161" i="2"/>
  <c r="L160" i="2"/>
  <c r="M160" i="2" s="1"/>
  <c r="J160" i="2"/>
  <c r="K160" i="2" s="1"/>
  <c r="A162" i="2" l="1"/>
  <c r="L161" i="2"/>
  <c r="M161" i="2" s="1"/>
  <c r="J161" i="2"/>
  <c r="K161" i="2" s="1"/>
  <c r="C18" i="3"/>
  <c r="J18" i="3"/>
  <c r="D148" i="3"/>
  <c r="C148" i="3" s="1"/>
  <c r="B149" i="3" s="1"/>
  <c r="A34" i="2"/>
  <c r="L33" i="2"/>
  <c r="M33" i="2" s="1"/>
  <c r="J33" i="2"/>
  <c r="K33" i="2" s="1"/>
  <c r="D149" i="3" l="1"/>
  <c r="E149" i="3" s="1"/>
  <c r="E148" i="3"/>
  <c r="F148" i="3" s="1"/>
  <c r="E18" i="3"/>
  <c r="D18" i="3"/>
  <c r="G18" i="3" s="1"/>
  <c r="H18" i="3" s="1"/>
  <c r="A35" i="2"/>
  <c r="L34" i="2"/>
  <c r="M34" i="2" s="1"/>
  <c r="J34" i="2"/>
  <c r="K34" i="2" s="1"/>
  <c r="A163" i="2"/>
  <c r="L162" i="2"/>
  <c r="M162" i="2" s="1"/>
  <c r="J162" i="2"/>
  <c r="K162" i="2" s="1"/>
  <c r="A36" i="2" l="1"/>
  <c r="L35" i="2"/>
  <c r="M35" i="2" s="1"/>
  <c r="J35" i="2"/>
  <c r="K35" i="2" s="1"/>
  <c r="A164" i="2"/>
  <c r="L163" i="2"/>
  <c r="M163" i="2" s="1"/>
  <c r="J163" i="2"/>
  <c r="K163" i="2" s="1"/>
  <c r="F149" i="3"/>
  <c r="C149" i="3"/>
  <c r="B150" i="3" s="1"/>
  <c r="K18" i="3"/>
  <c r="L18" i="3" s="1"/>
  <c r="I18" i="3"/>
  <c r="B19" i="3" s="1"/>
  <c r="D150" i="3" l="1"/>
  <c r="E150" i="3" s="1"/>
  <c r="F150" i="3" s="1"/>
  <c r="C19" i="3"/>
  <c r="J19" i="3"/>
  <c r="A165" i="2"/>
  <c r="L164" i="2"/>
  <c r="M164" i="2" s="1"/>
  <c r="J164" i="2"/>
  <c r="K164" i="2" s="1"/>
  <c r="A37" i="2"/>
  <c r="L36" i="2"/>
  <c r="M36" i="2" s="1"/>
  <c r="J36" i="2"/>
  <c r="K36" i="2" s="1"/>
  <c r="E19" i="3" l="1"/>
  <c r="D19" i="3"/>
  <c r="G19" i="3" s="1"/>
  <c r="H19" i="3" s="1"/>
  <c r="A166" i="2"/>
  <c r="L165" i="2"/>
  <c r="M165" i="2" s="1"/>
  <c r="J165" i="2"/>
  <c r="K165" i="2" s="1"/>
  <c r="A38" i="2"/>
  <c r="J37" i="2"/>
  <c r="K37" i="2" s="1"/>
  <c r="L37" i="2"/>
  <c r="M37" i="2" s="1"/>
  <c r="C150" i="3"/>
  <c r="B151" i="3" s="1"/>
  <c r="A39" i="2" l="1"/>
  <c r="L38" i="2"/>
  <c r="M38" i="2" s="1"/>
  <c r="J38" i="2"/>
  <c r="K38" i="2" s="1"/>
  <c r="A167" i="2"/>
  <c r="L166" i="2"/>
  <c r="M166" i="2" s="1"/>
  <c r="J166" i="2"/>
  <c r="K166" i="2" s="1"/>
  <c r="D151" i="3"/>
  <c r="E151" i="3" s="1"/>
  <c r="F151" i="3" s="1"/>
  <c r="K19" i="3"/>
  <c r="L19" i="3" s="1"/>
  <c r="I19" i="3"/>
  <c r="B20" i="3" s="1"/>
  <c r="C151" i="3" l="1"/>
  <c r="B152" i="3" s="1"/>
  <c r="A168" i="2"/>
  <c r="L167" i="2"/>
  <c r="M167" i="2" s="1"/>
  <c r="J167" i="2"/>
  <c r="K167" i="2" s="1"/>
  <c r="C20" i="3"/>
  <c r="J20" i="3"/>
  <c r="A40" i="2"/>
  <c r="L39" i="2"/>
  <c r="M39" i="2" s="1"/>
  <c r="J39" i="2"/>
  <c r="K39" i="2" s="1"/>
  <c r="A41" i="2" l="1"/>
  <c r="L40" i="2"/>
  <c r="M40" i="2" s="1"/>
  <c r="J40" i="2"/>
  <c r="K40" i="2" s="1"/>
  <c r="E20" i="3"/>
  <c r="D20" i="3"/>
  <c r="A169" i="2"/>
  <c r="L168" i="2"/>
  <c r="M168" i="2" s="1"/>
  <c r="J168" i="2"/>
  <c r="K168" i="2" s="1"/>
  <c r="D152" i="3"/>
  <c r="C152" i="3" s="1"/>
  <c r="B153" i="3" s="1"/>
  <c r="D153" i="3" l="1"/>
  <c r="C153" i="3" s="1"/>
  <c r="B154" i="3" s="1"/>
  <c r="E152" i="3"/>
  <c r="F152" i="3" s="1"/>
  <c r="G20" i="3"/>
  <c r="H20" i="3" s="1"/>
  <c r="A170" i="2"/>
  <c r="L169" i="2"/>
  <c r="M169" i="2" s="1"/>
  <c r="J169" i="2"/>
  <c r="K169" i="2" s="1"/>
  <c r="A42" i="2"/>
  <c r="L41" i="2"/>
  <c r="M41" i="2" s="1"/>
  <c r="J41" i="2"/>
  <c r="K41" i="2" s="1"/>
  <c r="D154" i="3" l="1"/>
  <c r="E154" i="3" s="1"/>
  <c r="A43" i="2"/>
  <c r="L42" i="2"/>
  <c r="M42" i="2" s="1"/>
  <c r="J42" i="2"/>
  <c r="K42" i="2" s="1"/>
  <c r="A171" i="2"/>
  <c r="L170" i="2"/>
  <c r="M170" i="2" s="1"/>
  <c r="J170" i="2"/>
  <c r="K170" i="2" s="1"/>
  <c r="E153" i="3"/>
  <c r="F153" i="3" s="1"/>
  <c r="F154" i="3" s="1"/>
  <c r="K20" i="3"/>
  <c r="L20" i="3" s="1"/>
  <c r="I20" i="3"/>
  <c r="B21" i="3" s="1"/>
  <c r="A172" i="2" l="1"/>
  <c r="L171" i="2"/>
  <c r="M171" i="2" s="1"/>
  <c r="J171" i="2"/>
  <c r="K171" i="2" s="1"/>
  <c r="C21" i="3"/>
  <c r="J21" i="3"/>
  <c r="C154" i="3"/>
  <c r="B155" i="3" s="1"/>
  <c r="A44" i="2"/>
  <c r="L43" i="2"/>
  <c r="M43" i="2" s="1"/>
  <c r="J43" i="2"/>
  <c r="K43" i="2" s="1"/>
  <c r="A45" i="2" l="1"/>
  <c r="L44" i="2"/>
  <c r="M44" i="2" s="1"/>
  <c r="J44" i="2"/>
  <c r="K44" i="2" s="1"/>
  <c r="D155" i="3"/>
  <c r="E155" i="3" s="1"/>
  <c r="F155" i="3" s="1"/>
  <c r="E21" i="3"/>
  <c r="D21" i="3"/>
  <c r="G21" i="3" s="1"/>
  <c r="H21" i="3" s="1"/>
  <c r="A173" i="2"/>
  <c r="L172" i="2"/>
  <c r="M172" i="2" s="1"/>
  <c r="J172" i="2"/>
  <c r="K172" i="2" s="1"/>
  <c r="I21" i="3" l="1"/>
  <c r="B22" i="3" s="1"/>
  <c r="K21" i="3"/>
  <c r="L21" i="3" s="1"/>
  <c r="L173" i="2"/>
  <c r="M173" i="2" s="1"/>
  <c r="A174" i="2"/>
  <c r="J173" i="2"/>
  <c r="K173" i="2" s="1"/>
  <c r="C155" i="3"/>
  <c r="B156" i="3" s="1"/>
  <c r="A46" i="2"/>
  <c r="L45" i="2"/>
  <c r="M45" i="2" s="1"/>
  <c r="J45" i="2"/>
  <c r="K45" i="2" s="1"/>
  <c r="D156" i="3" l="1"/>
  <c r="E156" i="3" s="1"/>
  <c r="F156" i="3" s="1"/>
  <c r="A47" i="2"/>
  <c r="L46" i="2"/>
  <c r="M46" i="2" s="1"/>
  <c r="J46" i="2"/>
  <c r="K46" i="2" s="1"/>
  <c r="A175" i="2"/>
  <c r="J174" i="2"/>
  <c r="K174" i="2" s="1"/>
  <c r="L174" i="2"/>
  <c r="M174" i="2" s="1"/>
  <c r="C22" i="3"/>
  <c r="J22" i="3"/>
  <c r="E22" i="3" l="1"/>
  <c r="D22" i="3"/>
  <c r="G22" i="3" s="1"/>
  <c r="H22" i="3" s="1"/>
  <c r="A176" i="2"/>
  <c r="L175" i="2"/>
  <c r="M175" i="2" s="1"/>
  <c r="J175" i="2"/>
  <c r="K175" i="2" s="1"/>
  <c r="A48" i="2"/>
  <c r="L47" i="2"/>
  <c r="M47" i="2" s="1"/>
  <c r="J47" i="2"/>
  <c r="K47" i="2" s="1"/>
  <c r="C156" i="3"/>
  <c r="B157" i="3" s="1"/>
  <c r="A49" i="2" l="1"/>
  <c r="L48" i="2"/>
  <c r="M48" i="2" s="1"/>
  <c r="J48" i="2"/>
  <c r="K48" i="2" s="1"/>
  <c r="A177" i="2"/>
  <c r="L176" i="2"/>
  <c r="M176" i="2" s="1"/>
  <c r="J176" i="2"/>
  <c r="K176" i="2" s="1"/>
  <c r="D157" i="3"/>
  <c r="E157" i="3" s="1"/>
  <c r="F157" i="3" s="1"/>
  <c r="K22" i="3"/>
  <c r="L22" i="3" s="1"/>
  <c r="I22" i="3"/>
  <c r="B23" i="3" s="1"/>
  <c r="C23" i="3" l="1"/>
  <c r="J23" i="3"/>
  <c r="C157" i="3"/>
  <c r="B158" i="3" s="1"/>
  <c r="A178" i="2"/>
  <c r="L177" i="2"/>
  <c r="M177" i="2" s="1"/>
  <c r="J177" i="2"/>
  <c r="K177" i="2" s="1"/>
  <c r="A50" i="2"/>
  <c r="L49" i="2"/>
  <c r="M49" i="2" s="1"/>
  <c r="J49" i="2"/>
  <c r="K49" i="2" s="1"/>
  <c r="A51" i="2" l="1"/>
  <c r="L50" i="2"/>
  <c r="M50" i="2" s="1"/>
  <c r="J50" i="2"/>
  <c r="K50" i="2" s="1"/>
  <c r="D158" i="3"/>
  <c r="E158" i="3" s="1"/>
  <c r="F158" i="3" s="1"/>
  <c r="A179" i="2"/>
  <c r="L178" i="2"/>
  <c r="M178" i="2" s="1"/>
  <c r="J178" i="2"/>
  <c r="K178" i="2" s="1"/>
  <c r="E23" i="3"/>
  <c r="D23" i="3"/>
  <c r="G23" i="3" s="1"/>
  <c r="H23" i="3" s="1"/>
  <c r="K23" i="3" l="1"/>
  <c r="L23" i="3" s="1"/>
  <c r="I23" i="3"/>
  <c r="B24" i="3" s="1"/>
  <c r="A180" i="2"/>
  <c r="L179" i="2"/>
  <c r="M179" i="2" s="1"/>
  <c r="J179" i="2"/>
  <c r="K179" i="2" s="1"/>
  <c r="C158" i="3"/>
  <c r="B159" i="3" s="1"/>
  <c r="A52" i="2"/>
  <c r="L51" i="2"/>
  <c r="M51" i="2" s="1"/>
  <c r="J51" i="2"/>
  <c r="K51" i="2" s="1"/>
  <c r="D159" i="3" l="1"/>
  <c r="C159" i="3" s="1"/>
  <c r="B160" i="3" s="1"/>
  <c r="A53" i="2"/>
  <c r="L52" i="2"/>
  <c r="M52" i="2" s="1"/>
  <c r="J52" i="2"/>
  <c r="K52" i="2" s="1"/>
  <c r="A181" i="2"/>
  <c r="L180" i="2"/>
  <c r="M180" i="2" s="1"/>
  <c r="J180" i="2"/>
  <c r="K180" i="2" s="1"/>
  <c r="C24" i="3"/>
  <c r="J24" i="3"/>
  <c r="D160" i="3" l="1"/>
  <c r="E160" i="3" s="1"/>
  <c r="A182" i="2"/>
  <c r="L181" i="2"/>
  <c r="M181" i="2" s="1"/>
  <c r="J181" i="2"/>
  <c r="K181" i="2" s="1"/>
  <c r="E24" i="3"/>
  <c r="D24" i="3"/>
  <c r="G24" i="3" s="1"/>
  <c r="H24" i="3" s="1"/>
  <c r="E159" i="3"/>
  <c r="F159" i="3" s="1"/>
  <c r="A54" i="2"/>
  <c r="L53" i="2"/>
  <c r="M53" i="2" s="1"/>
  <c r="J53" i="2"/>
  <c r="K53" i="2" s="1"/>
  <c r="F160" i="3" l="1"/>
  <c r="A55" i="2"/>
  <c r="L54" i="2"/>
  <c r="M54" i="2" s="1"/>
  <c r="J54" i="2"/>
  <c r="K54" i="2" s="1"/>
  <c r="K24" i="3"/>
  <c r="L24" i="3" s="1"/>
  <c r="I24" i="3"/>
  <c r="B25" i="3" s="1"/>
  <c r="A183" i="2"/>
  <c r="L182" i="2"/>
  <c r="M182" i="2" s="1"/>
  <c r="J182" i="2"/>
  <c r="K182" i="2" s="1"/>
  <c r="C160" i="3"/>
  <c r="B161" i="3" s="1"/>
  <c r="A184" i="2" l="1"/>
  <c r="L183" i="2"/>
  <c r="M183" i="2" s="1"/>
  <c r="J183" i="2"/>
  <c r="K183" i="2" s="1"/>
  <c r="D161" i="3"/>
  <c r="E161" i="3" s="1"/>
  <c r="F161" i="3" s="1"/>
  <c r="C161" i="3"/>
  <c r="B162" i="3" s="1"/>
  <c r="A56" i="2"/>
  <c r="L55" i="2"/>
  <c r="M55" i="2" s="1"/>
  <c r="J55" i="2"/>
  <c r="K55" i="2" s="1"/>
  <c r="C25" i="3"/>
  <c r="J25" i="3"/>
  <c r="D162" i="3" l="1"/>
  <c r="E162" i="3" s="1"/>
  <c r="F162" i="3" s="1"/>
  <c r="A57" i="2"/>
  <c r="L56" i="2"/>
  <c r="M56" i="2" s="1"/>
  <c r="J56" i="2"/>
  <c r="K56" i="2" s="1"/>
  <c r="E25" i="3"/>
  <c r="D25" i="3"/>
  <c r="G25" i="3" s="1"/>
  <c r="H25" i="3" s="1"/>
  <c r="A185" i="2"/>
  <c r="L184" i="2"/>
  <c r="M184" i="2" s="1"/>
  <c r="J184" i="2"/>
  <c r="K184" i="2" s="1"/>
  <c r="A186" i="2" l="1"/>
  <c r="L185" i="2"/>
  <c r="M185" i="2" s="1"/>
  <c r="J185" i="2"/>
  <c r="K185" i="2" s="1"/>
  <c r="K25" i="3"/>
  <c r="L25" i="3" s="1"/>
  <c r="I25" i="3"/>
  <c r="B26" i="3" s="1"/>
  <c r="A58" i="2"/>
  <c r="L57" i="2"/>
  <c r="M57" i="2" s="1"/>
  <c r="J57" i="2"/>
  <c r="K57" i="2" s="1"/>
  <c r="C162" i="3"/>
  <c r="B163" i="3" s="1"/>
  <c r="D163" i="3" l="1"/>
  <c r="E163" i="3" s="1"/>
  <c r="F163" i="3" s="1"/>
  <c r="A59" i="2"/>
  <c r="L58" i="2"/>
  <c r="M58" i="2" s="1"/>
  <c r="J58" i="2"/>
  <c r="K58" i="2" s="1"/>
  <c r="C26" i="3"/>
  <c r="J26" i="3"/>
  <c r="A187" i="2"/>
  <c r="L186" i="2"/>
  <c r="M186" i="2" s="1"/>
  <c r="J186" i="2"/>
  <c r="K186" i="2" s="1"/>
  <c r="E26" i="3" l="1"/>
  <c r="D26" i="3"/>
  <c r="G26" i="3" s="1"/>
  <c r="H26" i="3" s="1"/>
  <c r="C163" i="3"/>
  <c r="B164" i="3" s="1"/>
  <c r="A60" i="2"/>
  <c r="L59" i="2"/>
  <c r="M59" i="2" s="1"/>
  <c r="J59" i="2"/>
  <c r="K59" i="2" s="1"/>
  <c r="A188" i="2"/>
  <c r="L187" i="2"/>
  <c r="M187" i="2" s="1"/>
  <c r="J187" i="2"/>
  <c r="K187" i="2" s="1"/>
  <c r="A189" i="2" l="1"/>
  <c r="L188" i="2"/>
  <c r="M188" i="2" s="1"/>
  <c r="J188" i="2"/>
  <c r="K188" i="2" s="1"/>
  <c r="A61" i="2"/>
  <c r="L60" i="2"/>
  <c r="M60" i="2" s="1"/>
  <c r="J60" i="2"/>
  <c r="K60" i="2" s="1"/>
  <c r="K26" i="3"/>
  <c r="L26" i="3" s="1"/>
  <c r="I26" i="3"/>
  <c r="B27" i="3" s="1"/>
  <c r="D164" i="3"/>
  <c r="E164" i="3" s="1"/>
  <c r="F164" i="3" s="1"/>
  <c r="C164" i="3" l="1"/>
  <c r="B165" i="3" s="1"/>
  <c r="C27" i="3"/>
  <c r="J27" i="3"/>
  <c r="A62" i="2"/>
  <c r="J61" i="2"/>
  <c r="K61" i="2" s="1"/>
  <c r="L61" i="2"/>
  <c r="M61" i="2" s="1"/>
  <c r="A190" i="2"/>
  <c r="L189" i="2"/>
  <c r="M189" i="2" s="1"/>
  <c r="J189" i="2"/>
  <c r="K189" i="2" s="1"/>
  <c r="A63" i="2" l="1"/>
  <c r="L62" i="2"/>
  <c r="M62" i="2" s="1"/>
  <c r="J62" i="2"/>
  <c r="K62" i="2" s="1"/>
  <c r="E27" i="3"/>
  <c r="D27" i="3"/>
  <c r="G27" i="3" s="1"/>
  <c r="H27" i="3" s="1"/>
  <c r="D165" i="3"/>
  <c r="C165" i="3" s="1"/>
  <c r="B166" i="3" s="1"/>
  <c r="A191" i="2"/>
  <c r="L190" i="2"/>
  <c r="M190" i="2" s="1"/>
  <c r="J190" i="2"/>
  <c r="K190" i="2" s="1"/>
  <c r="D166" i="3" l="1"/>
  <c r="E166" i="3" s="1"/>
  <c r="A192" i="2"/>
  <c r="L191" i="2"/>
  <c r="M191" i="2" s="1"/>
  <c r="J191" i="2"/>
  <c r="K191" i="2" s="1"/>
  <c r="E165" i="3"/>
  <c r="F165" i="3" s="1"/>
  <c r="I27" i="3"/>
  <c r="B28" i="3" s="1"/>
  <c r="K27" i="3"/>
  <c r="L27" i="3" s="1"/>
  <c r="A64" i="2"/>
  <c r="L63" i="2"/>
  <c r="M63" i="2" s="1"/>
  <c r="J63" i="2"/>
  <c r="K63" i="2" s="1"/>
  <c r="F166" i="3" l="1"/>
  <c r="A65" i="2"/>
  <c r="L64" i="2"/>
  <c r="M64" i="2" s="1"/>
  <c r="J64" i="2"/>
  <c r="K64" i="2" s="1"/>
  <c r="A193" i="2"/>
  <c r="L192" i="2"/>
  <c r="M192" i="2" s="1"/>
  <c r="J192" i="2"/>
  <c r="K192" i="2" s="1"/>
  <c r="C166" i="3"/>
  <c r="B167" i="3" s="1"/>
  <c r="C28" i="3"/>
  <c r="J28" i="3"/>
  <c r="E28" i="3" l="1"/>
  <c r="D28" i="3"/>
  <c r="G28" i="3" s="1"/>
  <c r="H28" i="3" s="1"/>
  <c r="A194" i="2"/>
  <c r="L193" i="2"/>
  <c r="M193" i="2" s="1"/>
  <c r="J193" i="2"/>
  <c r="K193" i="2" s="1"/>
  <c r="A66" i="2"/>
  <c r="L65" i="2"/>
  <c r="M65" i="2" s="1"/>
  <c r="J65" i="2"/>
  <c r="K65" i="2" s="1"/>
  <c r="D167" i="3"/>
  <c r="E167" i="3" s="1"/>
  <c r="F167" i="3" s="1"/>
  <c r="C167" i="3" l="1"/>
  <c r="B168" i="3" s="1"/>
  <c r="A67" i="2"/>
  <c r="L66" i="2"/>
  <c r="M66" i="2" s="1"/>
  <c r="J66" i="2"/>
  <c r="K66" i="2" s="1"/>
  <c r="A195" i="2"/>
  <c r="L194" i="2"/>
  <c r="M194" i="2" s="1"/>
  <c r="J194" i="2"/>
  <c r="K194" i="2" s="1"/>
  <c r="I28" i="3"/>
  <c r="B29" i="3" s="1"/>
  <c r="K28" i="3"/>
  <c r="L28" i="3" s="1"/>
  <c r="C29" i="3" l="1"/>
  <c r="J29" i="3"/>
  <c r="A68" i="2"/>
  <c r="L67" i="2"/>
  <c r="M67" i="2" s="1"/>
  <c r="J67" i="2"/>
  <c r="K67" i="2" s="1"/>
  <c r="A196" i="2"/>
  <c r="L195" i="2"/>
  <c r="M195" i="2" s="1"/>
  <c r="J195" i="2"/>
  <c r="K195" i="2" s="1"/>
  <c r="E168" i="3"/>
  <c r="F168" i="3" s="1"/>
  <c r="D168" i="3"/>
  <c r="C168" i="3" s="1"/>
  <c r="B169" i="3" s="1"/>
  <c r="D169" i="3" l="1"/>
  <c r="C169" i="3" s="1"/>
  <c r="B170" i="3" s="1"/>
  <c r="A197" i="2"/>
  <c r="L196" i="2"/>
  <c r="M196" i="2" s="1"/>
  <c r="J196" i="2"/>
  <c r="K196" i="2" s="1"/>
  <c r="A69" i="2"/>
  <c r="L68" i="2"/>
  <c r="M68" i="2" s="1"/>
  <c r="J68" i="2"/>
  <c r="K68" i="2" s="1"/>
  <c r="E29" i="3"/>
  <c r="D29" i="3"/>
  <c r="D170" i="3" l="1"/>
  <c r="E170" i="3" s="1"/>
  <c r="A70" i="2"/>
  <c r="L69" i="2"/>
  <c r="M69" i="2" s="1"/>
  <c r="J69" i="2"/>
  <c r="K69" i="2" s="1"/>
  <c r="A198" i="2"/>
  <c r="L197" i="2"/>
  <c r="M197" i="2" s="1"/>
  <c r="J197" i="2"/>
  <c r="K197" i="2" s="1"/>
  <c r="E169" i="3"/>
  <c r="F169" i="3" s="1"/>
  <c r="G29" i="3"/>
  <c r="H29" i="3" s="1"/>
  <c r="I29" i="3" l="1"/>
  <c r="B30" i="3" s="1"/>
  <c r="K29" i="3"/>
  <c r="L29" i="3" s="1"/>
  <c r="A199" i="2"/>
  <c r="L198" i="2"/>
  <c r="M198" i="2" s="1"/>
  <c r="J198" i="2"/>
  <c r="K198" i="2" s="1"/>
  <c r="A71" i="2"/>
  <c r="L70" i="2"/>
  <c r="M70" i="2" s="1"/>
  <c r="J70" i="2"/>
  <c r="K70" i="2" s="1"/>
  <c r="C170" i="3"/>
  <c r="B171" i="3" s="1"/>
  <c r="F170" i="3"/>
  <c r="D171" i="3" l="1"/>
  <c r="C171" i="3" s="1"/>
  <c r="B172" i="3" s="1"/>
  <c r="A72" i="2"/>
  <c r="L71" i="2"/>
  <c r="M71" i="2" s="1"/>
  <c r="J71" i="2"/>
  <c r="K71" i="2" s="1"/>
  <c r="A200" i="2"/>
  <c r="L199" i="2"/>
  <c r="M199" i="2" s="1"/>
  <c r="J199" i="2"/>
  <c r="K199" i="2" s="1"/>
  <c r="C30" i="3"/>
  <c r="J30" i="3"/>
  <c r="D172" i="3" l="1"/>
  <c r="E172" i="3" s="1"/>
  <c r="A201" i="2"/>
  <c r="L200" i="2"/>
  <c r="M200" i="2" s="1"/>
  <c r="J200" i="2"/>
  <c r="K200" i="2" s="1"/>
  <c r="E30" i="3"/>
  <c r="D30" i="3"/>
  <c r="G30" i="3" s="1"/>
  <c r="H30" i="3" s="1"/>
  <c r="A73" i="2"/>
  <c r="L72" i="2"/>
  <c r="M72" i="2" s="1"/>
  <c r="J72" i="2"/>
  <c r="K72" i="2" s="1"/>
  <c r="E171" i="3"/>
  <c r="F171" i="3" s="1"/>
  <c r="K30" i="3" l="1"/>
  <c r="L30" i="3" s="1"/>
  <c r="I30" i="3"/>
  <c r="B31" i="3" s="1"/>
  <c r="A202" i="2"/>
  <c r="L201" i="2"/>
  <c r="M201" i="2" s="1"/>
  <c r="J201" i="2"/>
  <c r="K201" i="2" s="1"/>
  <c r="C172" i="3"/>
  <c r="B173" i="3" s="1"/>
  <c r="A74" i="2"/>
  <c r="L73" i="2"/>
  <c r="M73" i="2" s="1"/>
  <c r="J73" i="2"/>
  <c r="K73" i="2" s="1"/>
  <c r="F172" i="3"/>
  <c r="A75" i="2" l="1"/>
  <c r="L74" i="2"/>
  <c r="M74" i="2" s="1"/>
  <c r="J74" i="2"/>
  <c r="K74" i="2" s="1"/>
  <c r="C31" i="3"/>
  <c r="J31" i="3"/>
  <c r="D173" i="3"/>
  <c r="E173" i="3" s="1"/>
  <c r="F173" i="3" s="1"/>
  <c r="A203" i="2"/>
  <c r="L202" i="2"/>
  <c r="M202" i="2" s="1"/>
  <c r="J202" i="2"/>
  <c r="K202" i="2" s="1"/>
  <c r="C173" i="3" l="1"/>
  <c r="B174" i="3" s="1"/>
  <c r="E31" i="3"/>
  <c r="D31" i="3"/>
  <c r="G31" i="3" s="1"/>
  <c r="H31" i="3" s="1"/>
  <c r="A204" i="2"/>
  <c r="L203" i="2"/>
  <c r="M203" i="2" s="1"/>
  <c r="J203" i="2"/>
  <c r="K203" i="2" s="1"/>
  <c r="A76" i="2"/>
  <c r="L75" i="2"/>
  <c r="M75" i="2" s="1"/>
  <c r="J75" i="2"/>
  <c r="K75" i="2" s="1"/>
  <c r="A77" i="2" l="1"/>
  <c r="L76" i="2"/>
  <c r="M76" i="2" s="1"/>
  <c r="J76" i="2"/>
  <c r="K76" i="2" s="1"/>
  <c r="I31" i="3"/>
  <c r="B32" i="3" s="1"/>
  <c r="K31" i="3"/>
  <c r="L31" i="3" s="1"/>
  <c r="A205" i="2"/>
  <c r="L204" i="2"/>
  <c r="M204" i="2" s="1"/>
  <c r="J204" i="2"/>
  <c r="K204" i="2" s="1"/>
  <c r="D174" i="3"/>
  <c r="E174" i="3" s="1"/>
  <c r="F174" i="3" s="1"/>
  <c r="C32" i="3" l="1"/>
  <c r="J32" i="3"/>
  <c r="C174" i="3"/>
  <c r="B175" i="3" s="1"/>
  <c r="A206" i="2"/>
  <c r="L205" i="2"/>
  <c r="M205" i="2" s="1"/>
  <c r="J205" i="2"/>
  <c r="K205" i="2" s="1"/>
  <c r="A78" i="2"/>
  <c r="L77" i="2"/>
  <c r="M77" i="2" s="1"/>
  <c r="J77" i="2"/>
  <c r="K77" i="2" s="1"/>
  <c r="A79" i="2" l="1"/>
  <c r="L78" i="2"/>
  <c r="M78" i="2" s="1"/>
  <c r="J78" i="2"/>
  <c r="K78" i="2" s="1"/>
  <c r="A207" i="2"/>
  <c r="L206" i="2"/>
  <c r="M206" i="2" s="1"/>
  <c r="J206" i="2"/>
  <c r="K206" i="2" s="1"/>
  <c r="E32" i="3"/>
  <c r="D32" i="3"/>
  <c r="G32" i="3" s="1"/>
  <c r="H32" i="3" s="1"/>
  <c r="D175" i="3"/>
  <c r="E175" i="3" s="1"/>
  <c r="F175" i="3" s="1"/>
  <c r="K32" i="3" l="1"/>
  <c r="L32" i="3" s="1"/>
  <c r="I32" i="3"/>
  <c r="B33" i="3" s="1"/>
  <c r="C175" i="3"/>
  <c r="B176" i="3" s="1"/>
  <c r="A208" i="2"/>
  <c r="L207" i="2"/>
  <c r="M207" i="2" s="1"/>
  <c r="J207" i="2"/>
  <c r="K207" i="2" s="1"/>
  <c r="A80" i="2"/>
  <c r="L79" i="2"/>
  <c r="M79" i="2" s="1"/>
  <c r="J79" i="2"/>
  <c r="K79" i="2" s="1"/>
  <c r="D176" i="3" l="1"/>
  <c r="E176" i="3" s="1"/>
  <c r="F176" i="3" s="1"/>
  <c r="A209" i="2"/>
  <c r="L208" i="2"/>
  <c r="M208" i="2" s="1"/>
  <c r="J208" i="2"/>
  <c r="K208" i="2" s="1"/>
  <c r="A81" i="2"/>
  <c r="L80" i="2"/>
  <c r="M80" i="2" s="1"/>
  <c r="J80" i="2"/>
  <c r="K80" i="2" s="1"/>
  <c r="C33" i="3"/>
  <c r="J33" i="3"/>
  <c r="E33" i="3" l="1"/>
  <c r="D33" i="3"/>
  <c r="G33" i="3" s="1"/>
  <c r="H33" i="3" s="1"/>
  <c r="A82" i="2"/>
  <c r="L81" i="2"/>
  <c r="M81" i="2" s="1"/>
  <c r="J81" i="2"/>
  <c r="K81" i="2" s="1"/>
  <c r="A210" i="2"/>
  <c r="L209" i="2"/>
  <c r="M209" i="2" s="1"/>
  <c r="J209" i="2"/>
  <c r="K209" i="2" s="1"/>
  <c r="C176" i="3"/>
  <c r="B177" i="3" s="1"/>
  <c r="A211" i="2" l="1"/>
  <c r="J210" i="2"/>
  <c r="K210" i="2" s="1"/>
  <c r="L210" i="2"/>
  <c r="M210" i="2" s="1"/>
  <c r="E177" i="3"/>
  <c r="F177" i="3" s="1"/>
  <c r="D177" i="3"/>
  <c r="C177" i="3"/>
  <c r="B178" i="3" s="1"/>
  <c r="A83" i="2"/>
  <c r="L82" i="2"/>
  <c r="M82" i="2" s="1"/>
  <c r="J82" i="2"/>
  <c r="K82" i="2" s="1"/>
  <c r="K33" i="3"/>
  <c r="L33" i="3" s="1"/>
  <c r="I33" i="3"/>
  <c r="B34" i="3" s="1"/>
  <c r="D178" i="3" l="1"/>
  <c r="E178" i="3" s="1"/>
  <c r="F178" i="3" s="1"/>
  <c r="C34" i="3"/>
  <c r="J34" i="3"/>
  <c r="A84" i="2"/>
  <c r="L83" i="2"/>
  <c r="M83" i="2" s="1"/>
  <c r="J83" i="2"/>
  <c r="K83" i="2" s="1"/>
  <c r="A212" i="2"/>
  <c r="L211" i="2"/>
  <c r="M211" i="2" s="1"/>
  <c r="J211" i="2"/>
  <c r="K211" i="2" s="1"/>
  <c r="A85" i="2" l="1"/>
  <c r="L84" i="2"/>
  <c r="M84" i="2" s="1"/>
  <c r="J84" i="2"/>
  <c r="K84" i="2" s="1"/>
  <c r="E34" i="3"/>
  <c r="D34" i="3"/>
  <c r="G34" i="3" s="1"/>
  <c r="H34" i="3" s="1"/>
  <c r="A213" i="2"/>
  <c r="L212" i="2"/>
  <c r="M212" i="2" s="1"/>
  <c r="J212" i="2"/>
  <c r="K212" i="2" s="1"/>
  <c r="C178" i="3"/>
  <c r="B179" i="3" s="1"/>
  <c r="A214" i="2" l="1"/>
  <c r="L213" i="2"/>
  <c r="M213" i="2" s="1"/>
  <c r="J213" i="2"/>
  <c r="K213" i="2" s="1"/>
  <c r="D179" i="3"/>
  <c r="C179" i="3" s="1"/>
  <c r="B180" i="3" s="1"/>
  <c r="I34" i="3"/>
  <c r="B35" i="3" s="1"/>
  <c r="K34" i="3"/>
  <c r="L34" i="3" s="1"/>
  <c r="A86" i="2"/>
  <c r="L85" i="2"/>
  <c r="M85" i="2" s="1"/>
  <c r="J85" i="2"/>
  <c r="K85" i="2" s="1"/>
  <c r="D180" i="3" l="1"/>
  <c r="E180" i="3" s="1"/>
  <c r="A87" i="2"/>
  <c r="L86" i="2"/>
  <c r="M86" i="2" s="1"/>
  <c r="J86" i="2"/>
  <c r="K86" i="2" s="1"/>
  <c r="C35" i="3"/>
  <c r="J35" i="3"/>
  <c r="E179" i="3"/>
  <c r="F179" i="3" s="1"/>
  <c r="A215" i="2"/>
  <c r="L214" i="2"/>
  <c r="M214" i="2" s="1"/>
  <c r="J214" i="2"/>
  <c r="K214" i="2" s="1"/>
  <c r="A216" i="2" l="1"/>
  <c r="L215" i="2"/>
  <c r="M215" i="2" s="1"/>
  <c r="J215" i="2"/>
  <c r="K215" i="2" s="1"/>
  <c r="C180" i="3"/>
  <c r="B181" i="3" s="1"/>
  <c r="E35" i="3"/>
  <c r="D35" i="3"/>
  <c r="G35" i="3" s="1"/>
  <c r="H35" i="3" s="1"/>
  <c r="A88" i="2"/>
  <c r="L87" i="2"/>
  <c r="M87" i="2" s="1"/>
  <c r="J87" i="2"/>
  <c r="K87" i="2" s="1"/>
  <c r="F180" i="3"/>
  <c r="K35" i="3" l="1"/>
  <c r="L35" i="3" s="1"/>
  <c r="I35" i="3"/>
  <c r="B36" i="3" s="1"/>
  <c r="D181" i="3"/>
  <c r="E181" i="3" s="1"/>
  <c r="F181" i="3" s="1"/>
  <c r="C181" i="3"/>
  <c r="B182" i="3" s="1"/>
  <c r="A89" i="2"/>
  <c r="L88" i="2"/>
  <c r="M88" i="2" s="1"/>
  <c r="J88" i="2"/>
  <c r="K88" i="2" s="1"/>
  <c r="A217" i="2"/>
  <c r="L216" i="2"/>
  <c r="M216" i="2" s="1"/>
  <c r="J216" i="2"/>
  <c r="K216" i="2" s="1"/>
  <c r="D182" i="3" l="1"/>
  <c r="E182" i="3" s="1"/>
  <c r="F182" i="3" s="1"/>
  <c r="C36" i="3"/>
  <c r="J36" i="3"/>
  <c r="A218" i="2"/>
  <c r="L217" i="2"/>
  <c r="M217" i="2" s="1"/>
  <c r="J217" i="2"/>
  <c r="K217" i="2" s="1"/>
  <c r="A90" i="2"/>
  <c r="L89" i="2"/>
  <c r="M89" i="2" s="1"/>
  <c r="J89" i="2"/>
  <c r="K89" i="2" s="1"/>
  <c r="A219" i="2" l="1"/>
  <c r="L218" i="2"/>
  <c r="M218" i="2" s="1"/>
  <c r="J218" i="2"/>
  <c r="K218" i="2" s="1"/>
  <c r="E36" i="3"/>
  <c r="D36" i="3"/>
  <c r="G36" i="3" s="1"/>
  <c r="H36" i="3" s="1"/>
  <c r="A91" i="2"/>
  <c r="L90" i="2"/>
  <c r="M90" i="2" s="1"/>
  <c r="J90" i="2"/>
  <c r="K90" i="2" s="1"/>
  <c r="C182" i="3"/>
  <c r="B183" i="3" s="1"/>
  <c r="A92" i="2" l="1"/>
  <c r="L91" i="2"/>
  <c r="M91" i="2" s="1"/>
  <c r="J91" i="2"/>
  <c r="K91" i="2" s="1"/>
  <c r="I36" i="3"/>
  <c r="B37" i="3" s="1"/>
  <c r="K36" i="3"/>
  <c r="L36" i="3" s="1"/>
  <c r="A220" i="2"/>
  <c r="L219" i="2"/>
  <c r="M219" i="2" s="1"/>
  <c r="J219" i="2"/>
  <c r="K219" i="2" s="1"/>
  <c r="D183" i="3"/>
  <c r="C183" i="3" s="1"/>
  <c r="B184" i="3" s="1"/>
  <c r="D184" i="3" l="1"/>
  <c r="E184" i="3" s="1"/>
  <c r="E183" i="3"/>
  <c r="F183" i="3" s="1"/>
  <c r="A221" i="2"/>
  <c r="L220" i="2"/>
  <c r="M220" i="2" s="1"/>
  <c r="J220" i="2"/>
  <c r="K220" i="2" s="1"/>
  <c r="C37" i="3"/>
  <c r="J37" i="3"/>
  <c r="A93" i="2"/>
  <c r="L92" i="2"/>
  <c r="M92" i="2" s="1"/>
  <c r="J92" i="2"/>
  <c r="K92" i="2" s="1"/>
  <c r="F184" i="3" l="1"/>
  <c r="A222" i="2"/>
  <c r="L221" i="2"/>
  <c r="M221" i="2" s="1"/>
  <c r="J221" i="2"/>
  <c r="K221" i="2" s="1"/>
  <c r="E37" i="3"/>
  <c r="D37" i="3"/>
  <c r="G37" i="3" s="1"/>
  <c r="H37" i="3" s="1"/>
  <c r="A94" i="2"/>
  <c r="L93" i="2"/>
  <c r="M93" i="2" s="1"/>
  <c r="J93" i="2"/>
  <c r="K93" i="2" s="1"/>
  <c r="C184" i="3"/>
  <c r="B185" i="3" s="1"/>
  <c r="D185" i="3" l="1"/>
  <c r="E185" i="3" s="1"/>
  <c r="F185" i="3" s="1"/>
  <c r="A95" i="2"/>
  <c r="L94" i="2"/>
  <c r="M94" i="2" s="1"/>
  <c r="J94" i="2"/>
  <c r="K94" i="2" s="1"/>
  <c r="I37" i="3"/>
  <c r="B38" i="3" s="1"/>
  <c r="K37" i="3"/>
  <c r="L37" i="3" s="1"/>
  <c r="A223" i="2"/>
  <c r="L222" i="2"/>
  <c r="M222" i="2" s="1"/>
  <c r="J222" i="2"/>
  <c r="K222" i="2" s="1"/>
  <c r="A224" i="2" l="1"/>
  <c r="L223" i="2"/>
  <c r="M223" i="2" s="1"/>
  <c r="J223" i="2"/>
  <c r="K223" i="2" s="1"/>
  <c r="C38" i="3"/>
  <c r="J38" i="3"/>
  <c r="C185" i="3"/>
  <c r="B186" i="3" s="1"/>
  <c r="A96" i="2"/>
  <c r="L95" i="2"/>
  <c r="M95" i="2" s="1"/>
  <c r="J95" i="2"/>
  <c r="K95" i="2" s="1"/>
  <c r="A97" i="2" l="1"/>
  <c r="L96" i="2"/>
  <c r="M96" i="2" s="1"/>
  <c r="J96" i="2"/>
  <c r="K96" i="2" s="1"/>
  <c r="D186" i="3"/>
  <c r="C186" i="3" s="1"/>
  <c r="B187" i="3" s="1"/>
  <c r="E38" i="3"/>
  <c r="D38" i="3"/>
  <c r="G38" i="3" s="1"/>
  <c r="H38" i="3" s="1"/>
  <c r="A225" i="2"/>
  <c r="L224" i="2"/>
  <c r="M224" i="2" s="1"/>
  <c r="J224" i="2"/>
  <c r="K224" i="2" s="1"/>
  <c r="D187" i="3" l="1"/>
  <c r="E187" i="3" s="1"/>
  <c r="K38" i="3"/>
  <c r="L38" i="3" s="1"/>
  <c r="I38" i="3"/>
  <c r="B39" i="3" s="1"/>
  <c r="E186" i="3"/>
  <c r="F186" i="3" s="1"/>
  <c r="A226" i="2"/>
  <c r="L225" i="2"/>
  <c r="M225" i="2" s="1"/>
  <c r="J225" i="2"/>
  <c r="K225" i="2" s="1"/>
  <c r="A98" i="2"/>
  <c r="L97" i="2"/>
  <c r="M97" i="2" s="1"/>
  <c r="J97" i="2"/>
  <c r="K97" i="2" s="1"/>
  <c r="A99" i="2" l="1"/>
  <c r="L98" i="2"/>
  <c r="M98" i="2" s="1"/>
  <c r="J98" i="2"/>
  <c r="K98" i="2" s="1"/>
  <c r="A227" i="2"/>
  <c r="L226" i="2"/>
  <c r="M226" i="2" s="1"/>
  <c r="J226" i="2"/>
  <c r="K226" i="2" s="1"/>
  <c r="C187" i="3"/>
  <c r="B188" i="3" s="1"/>
  <c r="C39" i="3"/>
  <c r="J39" i="3"/>
  <c r="F187" i="3"/>
  <c r="E39" i="3" l="1"/>
  <c r="D39" i="3"/>
  <c r="G39" i="3" s="1"/>
  <c r="H39" i="3" s="1"/>
  <c r="A228" i="2"/>
  <c r="L227" i="2"/>
  <c r="M227" i="2" s="1"/>
  <c r="J227" i="2"/>
  <c r="K227" i="2" s="1"/>
  <c r="D188" i="3"/>
  <c r="E188" i="3" s="1"/>
  <c r="F188" i="3" s="1"/>
  <c r="A100" i="2"/>
  <c r="L99" i="2"/>
  <c r="M99" i="2" s="1"/>
  <c r="J99" i="2"/>
  <c r="K99" i="2" s="1"/>
  <c r="C188" i="3" l="1"/>
  <c r="B189" i="3" s="1"/>
  <c r="A229" i="2"/>
  <c r="L228" i="2"/>
  <c r="M228" i="2" s="1"/>
  <c r="J228" i="2"/>
  <c r="K228" i="2" s="1"/>
  <c r="K39" i="3"/>
  <c r="L39" i="3" s="1"/>
  <c r="I39" i="3"/>
  <c r="B40" i="3" s="1"/>
  <c r="L100" i="2"/>
  <c r="M100" i="2" s="1"/>
  <c r="A101" i="2"/>
  <c r="J100" i="2"/>
  <c r="K100" i="2" s="1"/>
  <c r="A102" i="2" l="1"/>
  <c r="L101" i="2"/>
  <c r="M101" i="2" s="1"/>
  <c r="J101" i="2"/>
  <c r="K101" i="2" s="1"/>
  <c r="C40" i="3"/>
  <c r="J40" i="3"/>
  <c r="D189" i="3"/>
  <c r="C189" i="3" s="1"/>
  <c r="B190" i="3" s="1"/>
  <c r="A230" i="2"/>
  <c r="J229" i="2"/>
  <c r="K229" i="2" s="1"/>
  <c r="L229" i="2"/>
  <c r="M229" i="2" s="1"/>
  <c r="D190" i="3" l="1"/>
  <c r="E190" i="3" s="1"/>
  <c r="E189" i="3"/>
  <c r="F189" i="3" s="1"/>
  <c r="E40" i="3"/>
  <c r="D40" i="3"/>
  <c r="G40" i="3" s="1"/>
  <c r="H40" i="3" s="1"/>
  <c r="A231" i="2"/>
  <c r="L230" i="2"/>
  <c r="M230" i="2" s="1"/>
  <c r="J230" i="2"/>
  <c r="K230" i="2" s="1"/>
  <c r="A103" i="2"/>
  <c r="L102" i="2"/>
  <c r="M102" i="2" s="1"/>
  <c r="J102" i="2"/>
  <c r="K102" i="2" s="1"/>
  <c r="I40" i="3" l="1"/>
  <c r="B41" i="3" s="1"/>
  <c r="K40" i="3"/>
  <c r="L40" i="3" s="1"/>
  <c r="A104" i="2"/>
  <c r="L103" i="2"/>
  <c r="M103" i="2" s="1"/>
  <c r="J103" i="2"/>
  <c r="K103" i="2" s="1"/>
  <c r="C190" i="3"/>
  <c r="B191" i="3" s="1"/>
  <c r="A232" i="2"/>
  <c r="L231" i="2"/>
  <c r="M231" i="2" s="1"/>
  <c r="J231" i="2"/>
  <c r="K231" i="2" s="1"/>
  <c r="F190" i="3"/>
  <c r="A233" i="2" l="1"/>
  <c r="L232" i="2"/>
  <c r="M232" i="2" s="1"/>
  <c r="J232" i="2"/>
  <c r="K232" i="2" s="1"/>
  <c r="D191" i="3"/>
  <c r="E191" i="3" s="1"/>
  <c r="F191" i="3" s="1"/>
  <c r="C191" i="3"/>
  <c r="B192" i="3" s="1"/>
  <c r="A105" i="2"/>
  <c r="J104" i="2"/>
  <c r="K104" i="2" s="1"/>
  <c r="L104" i="2"/>
  <c r="M104" i="2" s="1"/>
  <c r="C41" i="3"/>
  <c r="J41" i="3"/>
  <c r="D192" i="3" l="1"/>
  <c r="E192" i="3" s="1"/>
  <c r="F192" i="3" s="1"/>
  <c r="E41" i="3"/>
  <c r="D41" i="3"/>
  <c r="G41" i="3" s="1"/>
  <c r="H41" i="3" s="1"/>
  <c r="A106" i="2"/>
  <c r="L105" i="2"/>
  <c r="M105" i="2" s="1"/>
  <c r="J105" i="2"/>
  <c r="K105" i="2" s="1"/>
  <c r="A234" i="2"/>
  <c r="L233" i="2"/>
  <c r="M233" i="2" s="1"/>
  <c r="J233" i="2"/>
  <c r="K233" i="2" s="1"/>
  <c r="A235" i="2" l="1"/>
  <c r="J234" i="2"/>
  <c r="K234" i="2" s="1"/>
  <c r="L234" i="2"/>
  <c r="M234" i="2" s="1"/>
  <c r="A107" i="2"/>
  <c r="L106" i="2"/>
  <c r="M106" i="2" s="1"/>
  <c r="J106" i="2"/>
  <c r="K106" i="2" s="1"/>
  <c r="K41" i="3"/>
  <c r="L41" i="3" s="1"/>
  <c r="I41" i="3"/>
  <c r="B42" i="3" s="1"/>
  <c r="C192" i="3"/>
  <c r="B193" i="3" s="1"/>
  <c r="D193" i="3" l="1"/>
  <c r="E193" i="3" s="1"/>
  <c r="F193" i="3" s="1"/>
  <c r="C193" i="3"/>
  <c r="B194" i="3" s="1"/>
  <c r="C42" i="3"/>
  <c r="J42" i="3"/>
  <c r="A108" i="2"/>
  <c r="L107" i="2"/>
  <c r="M107" i="2" s="1"/>
  <c r="J107" i="2"/>
  <c r="K107" i="2" s="1"/>
  <c r="A236" i="2"/>
  <c r="L235" i="2"/>
  <c r="M235" i="2" s="1"/>
  <c r="J235" i="2"/>
  <c r="K235" i="2" s="1"/>
  <c r="D194" i="3" l="1"/>
  <c r="E194" i="3" s="1"/>
  <c r="F194" i="3" s="1"/>
  <c r="A109" i="2"/>
  <c r="L108" i="2"/>
  <c r="M108" i="2" s="1"/>
  <c r="J108" i="2"/>
  <c r="K108" i="2" s="1"/>
  <c r="E42" i="3"/>
  <c r="D42" i="3"/>
  <c r="G42" i="3" s="1"/>
  <c r="H42" i="3" s="1"/>
  <c r="A237" i="2"/>
  <c r="J236" i="2"/>
  <c r="K236" i="2" s="1"/>
  <c r="L236" i="2"/>
  <c r="M236" i="2" s="1"/>
  <c r="K42" i="3" l="1"/>
  <c r="L42" i="3" s="1"/>
  <c r="I42" i="3"/>
  <c r="B43" i="3" s="1"/>
  <c r="A238" i="2"/>
  <c r="L237" i="2"/>
  <c r="M237" i="2" s="1"/>
  <c r="J237" i="2"/>
  <c r="K237" i="2" s="1"/>
  <c r="A110" i="2"/>
  <c r="J109" i="2"/>
  <c r="K109" i="2" s="1"/>
  <c r="L109" i="2"/>
  <c r="M109" i="2" s="1"/>
  <c r="C194" i="3"/>
  <c r="B195" i="3" s="1"/>
  <c r="D195" i="3" l="1"/>
  <c r="C195" i="3" s="1"/>
  <c r="B196" i="3" s="1"/>
  <c r="A239" i="2"/>
  <c r="L238" i="2"/>
  <c r="M238" i="2" s="1"/>
  <c r="J238" i="2"/>
  <c r="K238" i="2" s="1"/>
  <c r="A111" i="2"/>
  <c r="L110" i="2"/>
  <c r="M110" i="2" s="1"/>
  <c r="J110" i="2"/>
  <c r="K110" i="2" s="1"/>
  <c r="C43" i="3"/>
  <c r="J43" i="3"/>
  <c r="D196" i="3" l="1"/>
  <c r="E196" i="3" s="1"/>
  <c r="E43" i="3"/>
  <c r="D43" i="3"/>
  <c r="G43" i="3" s="1"/>
  <c r="H43" i="3" s="1"/>
  <c r="A240" i="2"/>
  <c r="L239" i="2"/>
  <c r="M239" i="2" s="1"/>
  <c r="J239" i="2"/>
  <c r="K239" i="2" s="1"/>
  <c r="E195" i="3"/>
  <c r="F195" i="3" s="1"/>
  <c r="A112" i="2"/>
  <c r="L111" i="2"/>
  <c r="M111" i="2" s="1"/>
  <c r="J111" i="2"/>
  <c r="K111" i="2" s="1"/>
  <c r="L112" i="2" l="1"/>
  <c r="M112" i="2" s="1"/>
  <c r="A113" i="2"/>
  <c r="J112" i="2"/>
  <c r="K112" i="2" s="1"/>
  <c r="F196" i="3"/>
  <c r="A241" i="2"/>
  <c r="L240" i="2"/>
  <c r="M240" i="2" s="1"/>
  <c r="J240" i="2"/>
  <c r="K240" i="2" s="1"/>
  <c r="I43" i="3"/>
  <c r="B44" i="3" s="1"/>
  <c r="K43" i="3"/>
  <c r="L43" i="3" s="1"/>
  <c r="C196" i="3"/>
  <c r="B197" i="3" s="1"/>
  <c r="D197" i="3" l="1"/>
  <c r="E197" i="3" s="1"/>
  <c r="F197" i="3" s="1"/>
  <c r="A242" i="2"/>
  <c r="L241" i="2"/>
  <c r="M241" i="2" s="1"/>
  <c r="J241" i="2"/>
  <c r="K241" i="2" s="1"/>
  <c r="A114" i="2"/>
  <c r="L113" i="2"/>
  <c r="M113" i="2" s="1"/>
  <c r="J113" i="2"/>
  <c r="K113" i="2" s="1"/>
  <c r="C44" i="3"/>
  <c r="J44" i="3"/>
  <c r="A115" i="2" l="1"/>
  <c r="L114" i="2"/>
  <c r="M114" i="2" s="1"/>
  <c r="J114" i="2"/>
  <c r="K114" i="2" s="1"/>
  <c r="E44" i="3"/>
  <c r="D44" i="3"/>
  <c r="G44" i="3" s="1"/>
  <c r="H44" i="3" s="1"/>
  <c r="A243" i="2"/>
  <c r="L242" i="2"/>
  <c r="M242" i="2" s="1"/>
  <c r="J242" i="2"/>
  <c r="K242" i="2" s="1"/>
  <c r="C197" i="3"/>
  <c r="B198" i="3" s="1"/>
  <c r="K44" i="3" l="1"/>
  <c r="L44" i="3" s="1"/>
  <c r="I44" i="3"/>
  <c r="B45" i="3" s="1"/>
  <c r="A116" i="2"/>
  <c r="L115" i="2"/>
  <c r="M115" i="2" s="1"/>
  <c r="J115" i="2"/>
  <c r="K115" i="2" s="1"/>
  <c r="D198" i="3"/>
  <c r="C198" i="3" s="1"/>
  <c r="B199" i="3" s="1"/>
  <c r="A244" i="2"/>
  <c r="L243" i="2"/>
  <c r="M243" i="2" s="1"/>
  <c r="J243" i="2"/>
  <c r="K243" i="2" s="1"/>
  <c r="D199" i="3" l="1"/>
  <c r="E199" i="3" s="1"/>
  <c r="E198" i="3"/>
  <c r="F198" i="3" s="1"/>
  <c r="A117" i="2"/>
  <c r="L116" i="2"/>
  <c r="M116" i="2" s="1"/>
  <c r="J116" i="2"/>
  <c r="K116" i="2" s="1"/>
  <c r="A245" i="2"/>
  <c r="L244" i="2"/>
  <c r="M244" i="2" s="1"/>
  <c r="J244" i="2"/>
  <c r="K244" i="2" s="1"/>
  <c r="C45" i="3"/>
  <c r="J45" i="3"/>
  <c r="E45" i="3" l="1"/>
  <c r="D45" i="3"/>
  <c r="G45" i="3" s="1"/>
  <c r="H45" i="3" s="1"/>
  <c r="A246" i="2"/>
  <c r="L245" i="2"/>
  <c r="M245" i="2" s="1"/>
  <c r="J245" i="2"/>
  <c r="K245" i="2" s="1"/>
  <c r="C199" i="3"/>
  <c r="B200" i="3" s="1"/>
  <c r="F199" i="3"/>
  <c r="A118" i="2"/>
  <c r="L117" i="2"/>
  <c r="M117" i="2" s="1"/>
  <c r="J117" i="2"/>
  <c r="K117" i="2" s="1"/>
  <c r="D200" i="3" l="1"/>
  <c r="E200" i="3" s="1"/>
  <c r="F200" i="3" s="1"/>
  <c r="A119" i="2"/>
  <c r="J118" i="2"/>
  <c r="K118" i="2" s="1"/>
  <c r="L118" i="2"/>
  <c r="M118" i="2" s="1"/>
  <c r="K45" i="3"/>
  <c r="L45" i="3" s="1"/>
  <c r="I45" i="3"/>
  <c r="B46" i="3" s="1"/>
  <c r="A247" i="2"/>
  <c r="L246" i="2"/>
  <c r="M246" i="2" s="1"/>
  <c r="J246" i="2"/>
  <c r="K246" i="2" s="1"/>
  <c r="A248" i="2" l="1"/>
  <c r="L247" i="2"/>
  <c r="M247" i="2" s="1"/>
  <c r="J247" i="2"/>
  <c r="K247" i="2" s="1"/>
  <c r="C46" i="3"/>
  <c r="J46" i="3"/>
  <c r="A120" i="2"/>
  <c r="L119" i="2"/>
  <c r="M119" i="2" s="1"/>
  <c r="J119" i="2"/>
  <c r="K119" i="2" s="1"/>
  <c r="C200" i="3"/>
  <c r="B201" i="3" s="1"/>
  <c r="A121" i="2" l="1"/>
  <c r="L120" i="2"/>
  <c r="M120" i="2" s="1"/>
  <c r="J120" i="2"/>
  <c r="K120" i="2" s="1"/>
  <c r="A249" i="2"/>
  <c r="L248" i="2"/>
  <c r="M248" i="2" s="1"/>
  <c r="J248" i="2"/>
  <c r="K248" i="2" s="1"/>
  <c r="E46" i="3"/>
  <c r="D46" i="3"/>
  <c r="G46" i="3" s="1"/>
  <c r="H46" i="3" s="1"/>
  <c r="D201" i="3"/>
  <c r="E201" i="3" s="1"/>
  <c r="F201" i="3" s="1"/>
  <c r="C201" i="3"/>
  <c r="B202" i="3" s="1"/>
  <c r="D202" i="3" l="1"/>
  <c r="E202" i="3" s="1"/>
  <c r="F202" i="3" s="1"/>
  <c r="I46" i="3"/>
  <c r="B47" i="3" s="1"/>
  <c r="K46" i="3"/>
  <c r="L46" i="3" s="1"/>
  <c r="A250" i="2"/>
  <c r="L249" i="2"/>
  <c r="M249" i="2" s="1"/>
  <c r="J249" i="2"/>
  <c r="K249" i="2" s="1"/>
  <c r="A122" i="2"/>
  <c r="J121" i="2"/>
  <c r="K121" i="2" s="1"/>
  <c r="L121" i="2"/>
  <c r="M121" i="2" s="1"/>
  <c r="A251" i="2" l="1"/>
  <c r="L250" i="2"/>
  <c r="M250" i="2" s="1"/>
  <c r="J250" i="2"/>
  <c r="K250" i="2" s="1"/>
  <c r="C47" i="3"/>
  <c r="J47" i="3"/>
  <c r="C202" i="3"/>
  <c r="B203" i="3" s="1"/>
  <c r="A123" i="2"/>
  <c r="L122" i="2"/>
  <c r="M122" i="2" s="1"/>
  <c r="J122" i="2"/>
  <c r="K122" i="2" s="1"/>
  <c r="A124" i="2" l="1"/>
  <c r="L123" i="2"/>
  <c r="M123" i="2" s="1"/>
  <c r="J123" i="2"/>
  <c r="K123" i="2" s="1"/>
  <c r="D203" i="3"/>
  <c r="E203" i="3" s="1"/>
  <c r="F203" i="3" s="1"/>
  <c r="E47" i="3"/>
  <c r="D47" i="3"/>
  <c r="A252" i="2"/>
  <c r="L251" i="2"/>
  <c r="M251" i="2" s="1"/>
  <c r="J251" i="2"/>
  <c r="K251" i="2" s="1"/>
  <c r="A253" i="2" l="1"/>
  <c r="L252" i="2"/>
  <c r="M252" i="2" s="1"/>
  <c r="J252" i="2"/>
  <c r="K252" i="2" s="1"/>
  <c r="C203" i="3"/>
  <c r="B204" i="3" s="1"/>
  <c r="G47" i="3"/>
  <c r="H47" i="3" s="1"/>
  <c r="A125" i="2"/>
  <c r="L124" i="2"/>
  <c r="M124" i="2" s="1"/>
  <c r="J124" i="2"/>
  <c r="K124" i="2" s="1"/>
  <c r="A126" i="2" l="1"/>
  <c r="L125" i="2"/>
  <c r="M125" i="2" s="1"/>
  <c r="J125" i="2"/>
  <c r="K125" i="2" s="1"/>
  <c r="D204" i="3"/>
  <c r="C204" i="3" s="1"/>
  <c r="B205" i="3" s="1"/>
  <c r="K47" i="3"/>
  <c r="L47" i="3" s="1"/>
  <c r="I47" i="3"/>
  <c r="B48" i="3" s="1"/>
  <c r="A254" i="2"/>
  <c r="L253" i="2"/>
  <c r="M253" i="2" s="1"/>
  <c r="J253" i="2"/>
  <c r="K253" i="2" s="1"/>
  <c r="D205" i="3" l="1"/>
  <c r="E205" i="3" s="1"/>
  <c r="C205" i="3"/>
  <c r="B206" i="3" s="1"/>
  <c r="A255" i="2"/>
  <c r="L254" i="2"/>
  <c r="M254" i="2" s="1"/>
  <c r="J254" i="2"/>
  <c r="K254" i="2" s="1"/>
  <c r="E204" i="3"/>
  <c r="F204" i="3" s="1"/>
  <c r="C48" i="3"/>
  <c r="J48" i="3"/>
  <c r="A127" i="2"/>
  <c r="L126" i="2"/>
  <c r="M126" i="2" s="1"/>
  <c r="J126" i="2"/>
  <c r="K126" i="2" s="1"/>
  <c r="D206" i="3" l="1"/>
  <c r="E206" i="3" s="1"/>
  <c r="F205" i="3"/>
  <c r="E48" i="3"/>
  <c r="D48" i="3"/>
  <c r="G48" i="3" s="1"/>
  <c r="H48" i="3" s="1"/>
  <c r="A256" i="2"/>
  <c r="L255" i="2"/>
  <c r="M255" i="2" s="1"/>
  <c r="J255" i="2"/>
  <c r="K255" i="2" s="1"/>
  <c r="A128" i="2"/>
  <c r="L127" i="2"/>
  <c r="M127" i="2" s="1"/>
  <c r="J127" i="2"/>
  <c r="K127" i="2" s="1"/>
  <c r="A129" i="2" l="1"/>
  <c r="L128" i="2"/>
  <c r="M128" i="2" s="1"/>
  <c r="J128" i="2"/>
  <c r="K128" i="2" s="1"/>
  <c r="A257" i="2"/>
  <c r="J256" i="2"/>
  <c r="K256" i="2" s="1"/>
  <c r="L256" i="2"/>
  <c r="M256" i="2" s="1"/>
  <c r="F206" i="3"/>
  <c r="C206" i="3"/>
  <c r="B207" i="3" s="1"/>
  <c r="I48" i="3"/>
  <c r="B49" i="3" s="1"/>
  <c r="K48" i="3"/>
  <c r="L48" i="3" s="1"/>
  <c r="D207" i="3" l="1"/>
  <c r="C207" i="3" s="1"/>
  <c r="B208" i="3" s="1"/>
  <c r="A258" i="2"/>
  <c r="L257" i="2"/>
  <c r="M257" i="2" s="1"/>
  <c r="J257" i="2"/>
  <c r="K257" i="2" s="1"/>
  <c r="C49" i="3"/>
  <c r="J49" i="3"/>
  <c r="A130" i="2"/>
  <c r="L129" i="2"/>
  <c r="M129" i="2" s="1"/>
  <c r="J129" i="2"/>
  <c r="K129" i="2" s="1"/>
  <c r="D208" i="3" l="1"/>
  <c r="E208" i="3" s="1"/>
  <c r="E207" i="3"/>
  <c r="F207" i="3" s="1"/>
  <c r="E49" i="3"/>
  <c r="D49" i="3"/>
  <c r="G49" i="3" s="1"/>
  <c r="H49" i="3" s="1"/>
  <c r="A131" i="2"/>
  <c r="L130" i="2"/>
  <c r="M130" i="2" s="1"/>
  <c r="J130" i="2"/>
  <c r="K130" i="2" s="1"/>
  <c r="J258" i="2"/>
  <c r="K258" i="2" s="1"/>
  <c r="L258" i="2"/>
  <c r="M258" i="2" s="1"/>
  <c r="K49" i="3" l="1"/>
  <c r="L49" i="3" s="1"/>
  <c r="I49" i="3"/>
  <c r="B50" i="3" s="1"/>
  <c r="F208" i="3"/>
  <c r="C208" i="3"/>
  <c r="B209" i="3" s="1"/>
  <c r="A132" i="2"/>
  <c r="L131" i="2"/>
  <c r="M131" i="2" s="1"/>
  <c r="J131" i="2"/>
  <c r="K131" i="2" s="1"/>
  <c r="L132" i="2" l="1"/>
  <c r="M132" i="2" s="1"/>
  <c r="J132" i="2"/>
  <c r="K132" i="2" s="1"/>
  <c r="C50" i="3"/>
  <c r="J50" i="3"/>
  <c r="D209" i="3"/>
  <c r="C209" i="3" s="1"/>
  <c r="B210" i="3" s="1"/>
  <c r="D210" i="3" l="1"/>
  <c r="E210" i="3" s="1"/>
  <c r="E209" i="3"/>
  <c r="F209" i="3" s="1"/>
  <c r="D50" i="3"/>
  <c r="G50" i="3" s="1"/>
  <c r="H50" i="3" s="1"/>
  <c r="E50" i="3"/>
  <c r="K50" i="3" l="1"/>
  <c r="L50" i="3" s="1"/>
  <c r="I50" i="3"/>
  <c r="B51" i="3" s="1"/>
  <c r="F210" i="3"/>
  <c r="C210" i="3"/>
  <c r="B211" i="3" s="1"/>
  <c r="D211" i="3" l="1"/>
  <c r="E211" i="3" s="1"/>
  <c r="F211" i="3" s="1"/>
  <c r="C211" i="3"/>
  <c r="B212" i="3" s="1"/>
  <c r="C51" i="3"/>
  <c r="J51" i="3"/>
  <c r="D212" i="3" l="1"/>
  <c r="E212" i="3" s="1"/>
  <c r="F212" i="3" s="1"/>
  <c r="D51" i="3"/>
  <c r="G51" i="3" s="1"/>
  <c r="H51" i="3" s="1"/>
  <c r="E51" i="3"/>
  <c r="K51" i="3" l="1"/>
  <c r="L51" i="3" s="1"/>
  <c r="I51" i="3"/>
  <c r="B52" i="3" s="1"/>
  <c r="C212" i="3"/>
  <c r="B213" i="3" s="1"/>
  <c r="C52" i="3" l="1"/>
  <c r="J52" i="3"/>
  <c r="D213" i="3"/>
  <c r="C213" i="3" s="1"/>
  <c r="B214" i="3" s="1"/>
  <c r="D214" i="3" l="1"/>
  <c r="E214" i="3" s="1"/>
  <c r="E213" i="3"/>
  <c r="F213" i="3" s="1"/>
  <c r="D52" i="3"/>
  <c r="G52" i="3" s="1"/>
  <c r="H52" i="3" s="1"/>
  <c r="E52" i="3"/>
  <c r="F214" i="3" l="1"/>
  <c r="I52" i="3"/>
  <c r="B53" i="3" s="1"/>
  <c r="K52" i="3"/>
  <c r="L52" i="3" s="1"/>
  <c r="C214" i="3"/>
  <c r="B215" i="3" s="1"/>
  <c r="D215" i="3" l="1"/>
  <c r="E215" i="3" s="1"/>
  <c r="F215" i="3" s="1"/>
  <c r="C53" i="3"/>
  <c r="J53" i="3"/>
  <c r="C215" i="3" l="1"/>
  <c r="B216" i="3" s="1"/>
  <c r="D53" i="3"/>
  <c r="G53" i="3" s="1"/>
  <c r="H53" i="3" s="1"/>
  <c r="E53" i="3"/>
  <c r="K53" i="3" l="1"/>
  <c r="L53" i="3" s="1"/>
  <c r="I53" i="3"/>
  <c r="B54" i="3" s="1"/>
  <c r="D216" i="3"/>
  <c r="E216" i="3" s="1"/>
  <c r="F216" i="3" s="1"/>
  <c r="C216" i="3" l="1"/>
  <c r="B217" i="3" s="1"/>
  <c r="C54" i="3"/>
  <c r="J54" i="3"/>
  <c r="D54" i="3" l="1"/>
  <c r="E54" i="3"/>
  <c r="D217" i="3"/>
  <c r="E217" i="3" s="1"/>
  <c r="F217" i="3" s="1"/>
  <c r="C217" i="3" l="1"/>
  <c r="B218" i="3" s="1"/>
  <c r="G54" i="3"/>
  <c r="H54" i="3" s="1"/>
  <c r="K54" i="3" l="1"/>
  <c r="L54" i="3" s="1"/>
  <c r="I54" i="3"/>
  <c r="B55" i="3" s="1"/>
  <c r="D218" i="3"/>
  <c r="E218" i="3" s="1"/>
  <c r="F218" i="3" s="1"/>
  <c r="C218" i="3" l="1"/>
  <c r="B219" i="3" s="1"/>
  <c r="C55" i="3"/>
  <c r="J55" i="3"/>
  <c r="D55" i="3" l="1"/>
  <c r="E55" i="3"/>
  <c r="D219" i="3"/>
  <c r="E219" i="3" s="1"/>
  <c r="F219" i="3" s="1"/>
  <c r="C219" i="3" l="1"/>
  <c r="B220" i="3" s="1"/>
  <c r="G55" i="3"/>
  <c r="H55" i="3" s="1"/>
  <c r="I55" i="3" l="1"/>
  <c r="B56" i="3" s="1"/>
  <c r="K55" i="3"/>
  <c r="L55" i="3" s="1"/>
  <c r="D220" i="3"/>
  <c r="C220" i="3" s="1"/>
  <c r="B221" i="3" s="1"/>
  <c r="D221" i="3" l="1"/>
  <c r="E221" i="3" s="1"/>
  <c r="E220" i="3"/>
  <c r="F220" i="3" s="1"/>
  <c r="C56" i="3"/>
  <c r="J56" i="3"/>
  <c r="D56" i="3" l="1"/>
  <c r="E56" i="3"/>
  <c r="F221" i="3"/>
  <c r="C221" i="3"/>
  <c r="B222" i="3" s="1"/>
  <c r="D222" i="3" l="1"/>
  <c r="E222" i="3" s="1"/>
  <c r="F222" i="3" s="1"/>
  <c r="G56" i="3"/>
  <c r="H56" i="3" s="1"/>
  <c r="I56" i="3" l="1"/>
  <c r="B57" i="3" s="1"/>
  <c r="K56" i="3"/>
  <c r="L56" i="3" s="1"/>
  <c r="C222" i="3"/>
  <c r="B223" i="3" s="1"/>
  <c r="D223" i="3" l="1"/>
  <c r="E223" i="3" s="1"/>
  <c r="F223" i="3" s="1"/>
  <c r="C223" i="3"/>
  <c r="B224" i="3" s="1"/>
  <c r="C57" i="3"/>
  <c r="J57" i="3"/>
  <c r="D224" i="3" l="1"/>
  <c r="E224" i="3" s="1"/>
  <c r="F224" i="3" s="1"/>
  <c r="D57" i="3"/>
  <c r="G57" i="3" s="1"/>
  <c r="H57" i="3" s="1"/>
  <c r="E57" i="3"/>
  <c r="K57" i="3" l="1"/>
  <c r="L57" i="3" s="1"/>
  <c r="I57" i="3"/>
  <c r="B58" i="3" s="1"/>
  <c r="C224" i="3"/>
  <c r="B225" i="3" s="1"/>
  <c r="C58" i="3" l="1"/>
  <c r="J58" i="3"/>
  <c r="D225" i="3"/>
  <c r="E225" i="3" s="1"/>
  <c r="F225" i="3" s="1"/>
  <c r="C225" i="3"/>
  <c r="B226" i="3" s="1"/>
  <c r="D226" i="3" l="1"/>
  <c r="E226" i="3" s="1"/>
  <c r="F226" i="3" s="1"/>
  <c r="D58" i="3"/>
  <c r="E58" i="3"/>
  <c r="G58" i="3" l="1"/>
  <c r="H58" i="3" s="1"/>
  <c r="C226" i="3"/>
  <c r="B227" i="3" s="1"/>
  <c r="D227" i="3" l="1"/>
  <c r="E227" i="3" s="1"/>
  <c r="F227" i="3" s="1"/>
  <c r="C227" i="3"/>
  <c r="B228" i="3" s="1"/>
  <c r="K58" i="3"/>
  <c r="L58" i="3" s="1"/>
  <c r="I58" i="3"/>
  <c r="B59" i="3" s="1"/>
  <c r="D228" i="3" l="1"/>
  <c r="E228" i="3" s="1"/>
  <c r="F228" i="3" s="1"/>
  <c r="C59" i="3"/>
  <c r="J59" i="3"/>
  <c r="D59" i="3" l="1"/>
  <c r="E59" i="3"/>
  <c r="C228" i="3"/>
  <c r="B229" i="3" s="1"/>
  <c r="D229" i="3" l="1"/>
  <c r="E229" i="3" s="1"/>
  <c r="F229" i="3" s="1"/>
  <c r="G59" i="3"/>
  <c r="H59" i="3" s="1"/>
  <c r="I59" i="3" l="1"/>
  <c r="B60" i="3" s="1"/>
  <c r="K59" i="3"/>
  <c r="L59" i="3" s="1"/>
  <c r="C229" i="3"/>
  <c r="B230" i="3" s="1"/>
  <c r="D230" i="3" l="1"/>
  <c r="E230" i="3" s="1"/>
  <c r="F230" i="3" s="1"/>
  <c r="C60" i="3"/>
  <c r="J60" i="3"/>
  <c r="D60" i="3" l="1"/>
  <c r="E60" i="3"/>
  <c r="C230" i="3"/>
  <c r="B231" i="3" s="1"/>
  <c r="D231" i="3" l="1"/>
  <c r="E231" i="3" s="1"/>
  <c r="F231" i="3" s="1"/>
  <c r="C231" i="3"/>
  <c r="B232" i="3" s="1"/>
  <c r="G60" i="3"/>
  <c r="H60" i="3" s="1"/>
  <c r="D232" i="3" l="1"/>
  <c r="E232" i="3" s="1"/>
  <c r="F232" i="3" s="1"/>
  <c r="K60" i="3"/>
  <c r="L60" i="3" s="1"/>
  <c r="I60" i="3"/>
  <c r="B61" i="3" s="1"/>
  <c r="C61" i="3" l="1"/>
  <c r="J61" i="3"/>
  <c r="C232" i="3"/>
  <c r="B233" i="3" s="1"/>
  <c r="D233" i="3" l="1"/>
  <c r="E233" i="3" s="1"/>
  <c r="F233" i="3" s="1"/>
  <c r="C233" i="3"/>
  <c r="B234" i="3" s="1"/>
  <c r="D61" i="3"/>
  <c r="G61" i="3" s="1"/>
  <c r="H61" i="3" s="1"/>
  <c r="E61" i="3"/>
  <c r="D234" i="3" l="1"/>
  <c r="E234" i="3" s="1"/>
  <c r="F234" i="3" s="1"/>
  <c r="K61" i="3"/>
  <c r="L61" i="3" s="1"/>
  <c r="I61" i="3"/>
  <c r="B62" i="3" s="1"/>
  <c r="C234" i="3" l="1"/>
  <c r="B235" i="3" s="1"/>
  <c r="C62" i="3"/>
  <c r="J62" i="3"/>
  <c r="D62" i="3" l="1"/>
  <c r="E62" i="3"/>
  <c r="D235" i="3"/>
  <c r="E235" i="3" s="1"/>
  <c r="F235" i="3" s="1"/>
  <c r="C235" i="3" l="1"/>
  <c r="B236" i="3" s="1"/>
  <c r="G62" i="3"/>
  <c r="H62" i="3" s="1"/>
  <c r="I62" i="3" l="1"/>
  <c r="B63" i="3" s="1"/>
  <c r="K62" i="3"/>
  <c r="L62" i="3" s="1"/>
  <c r="D236" i="3"/>
  <c r="C236" i="3" s="1"/>
  <c r="B237" i="3" s="1"/>
  <c r="D237" i="3" l="1"/>
  <c r="E237" i="3" s="1"/>
  <c r="C237" i="3"/>
  <c r="B238" i="3" s="1"/>
  <c r="E236" i="3"/>
  <c r="F236" i="3" s="1"/>
  <c r="C63" i="3"/>
  <c r="J63" i="3"/>
  <c r="D238" i="3" l="1"/>
  <c r="E238" i="3" s="1"/>
  <c r="F237" i="3"/>
  <c r="D63" i="3"/>
  <c r="G63" i="3" s="1"/>
  <c r="H63" i="3" s="1"/>
  <c r="E63" i="3"/>
  <c r="K63" i="3" l="1"/>
  <c r="L63" i="3" s="1"/>
  <c r="I63" i="3"/>
  <c r="B64" i="3" s="1"/>
  <c r="F238" i="3"/>
  <c r="C238" i="3"/>
  <c r="B239" i="3" s="1"/>
  <c r="D239" i="3" l="1"/>
  <c r="E239" i="3" s="1"/>
  <c r="F239" i="3" s="1"/>
  <c r="C64" i="3"/>
  <c r="J64" i="3"/>
  <c r="D64" i="3" l="1"/>
  <c r="G64" i="3" s="1"/>
  <c r="H64" i="3" s="1"/>
  <c r="E64" i="3"/>
  <c r="C239" i="3"/>
  <c r="B240" i="3" s="1"/>
  <c r="D240" i="3" l="1"/>
  <c r="E240" i="3" s="1"/>
  <c r="F240" i="3" s="1"/>
  <c r="I64" i="3"/>
  <c r="B65" i="3" s="1"/>
  <c r="K64" i="3"/>
  <c r="L64" i="3" s="1"/>
  <c r="C65" i="3" l="1"/>
  <c r="J65" i="3"/>
  <c r="C240" i="3"/>
  <c r="B241" i="3" s="1"/>
  <c r="D241" i="3" l="1"/>
  <c r="E241" i="3" s="1"/>
  <c r="F241" i="3" s="1"/>
  <c r="D65" i="3"/>
  <c r="E65" i="3"/>
  <c r="G65" i="3" l="1"/>
  <c r="H65" i="3" s="1"/>
  <c r="C241" i="3"/>
  <c r="B242" i="3" s="1"/>
  <c r="D242" i="3" l="1"/>
  <c r="E242" i="3" s="1"/>
  <c r="F242" i="3" s="1"/>
  <c r="K65" i="3"/>
  <c r="L65" i="3" s="1"/>
  <c r="I65" i="3"/>
  <c r="B66" i="3" s="1"/>
  <c r="C66" i="3" l="1"/>
  <c r="J66" i="3"/>
  <c r="C242" i="3"/>
  <c r="B243" i="3" s="1"/>
  <c r="D243" i="3" l="1"/>
  <c r="E243" i="3" s="1"/>
  <c r="F243" i="3" s="1"/>
  <c r="C243" i="3"/>
  <c r="B244" i="3" s="1"/>
  <c r="D66" i="3"/>
  <c r="E66" i="3"/>
  <c r="D244" i="3" l="1"/>
  <c r="E244" i="3" s="1"/>
  <c r="F244" i="3" s="1"/>
  <c r="G66" i="3"/>
  <c r="H66" i="3" s="1"/>
  <c r="K66" i="3" l="1"/>
  <c r="L66" i="3" s="1"/>
  <c r="I66" i="3"/>
  <c r="B67" i="3" s="1"/>
  <c r="C244" i="3"/>
  <c r="B245" i="3" s="1"/>
  <c r="C67" i="3" l="1"/>
  <c r="J67" i="3"/>
  <c r="D245" i="3"/>
  <c r="C245" i="3" s="1"/>
  <c r="B246" i="3" s="1"/>
  <c r="D246" i="3" l="1"/>
  <c r="E246" i="3" s="1"/>
  <c r="E245" i="3"/>
  <c r="F245" i="3" s="1"/>
  <c r="D67" i="3"/>
  <c r="G67" i="3" s="1"/>
  <c r="H67" i="3" s="1"/>
  <c r="E67" i="3"/>
  <c r="K67" i="3" l="1"/>
  <c r="L67" i="3" s="1"/>
  <c r="I67" i="3"/>
  <c r="B68" i="3" s="1"/>
  <c r="F246" i="3"/>
  <c r="C246" i="3"/>
  <c r="B247" i="3" s="1"/>
  <c r="C68" i="3" l="1"/>
  <c r="J68" i="3"/>
  <c r="D247" i="3"/>
  <c r="E247" i="3" s="1"/>
  <c r="F247" i="3" s="1"/>
  <c r="C247" i="3" l="1"/>
  <c r="B248" i="3" s="1"/>
  <c r="D68" i="3"/>
  <c r="E68" i="3"/>
  <c r="G68" i="3" l="1"/>
  <c r="H68" i="3" s="1"/>
  <c r="D248" i="3"/>
  <c r="C248" i="3" s="1"/>
  <c r="B249" i="3" s="1"/>
  <c r="D249" i="3" l="1"/>
  <c r="E249" i="3" s="1"/>
  <c r="E248" i="3"/>
  <c r="F248" i="3" s="1"/>
  <c r="K68" i="3"/>
  <c r="L68" i="3" s="1"/>
  <c r="I68" i="3"/>
  <c r="B69" i="3" s="1"/>
  <c r="F249" i="3" l="1"/>
  <c r="C69" i="3"/>
  <c r="J69" i="3"/>
  <c r="C249" i="3"/>
  <c r="B250" i="3" s="1"/>
  <c r="D250" i="3" l="1"/>
  <c r="E250" i="3" s="1"/>
  <c r="F250" i="3" s="1"/>
  <c r="D69" i="3"/>
  <c r="G69" i="3" s="1"/>
  <c r="H69" i="3" s="1"/>
  <c r="E69" i="3"/>
  <c r="K69" i="3" l="1"/>
  <c r="L69" i="3" s="1"/>
  <c r="I69" i="3"/>
  <c r="B70" i="3" s="1"/>
  <c r="C250" i="3"/>
  <c r="B251" i="3" s="1"/>
  <c r="D251" i="3" l="1"/>
  <c r="E251" i="3" s="1"/>
  <c r="F251" i="3" s="1"/>
  <c r="C251" i="3"/>
  <c r="B252" i="3" s="1"/>
  <c r="C70" i="3"/>
  <c r="J70" i="3"/>
  <c r="D252" i="3" l="1"/>
  <c r="E252" i="3" s="1"/>
  <c r="F252" i="3" s="1"/>
  <c r="D70" i="3"/>
  <c r="E70" i="3"/>
  <c r="G70" i="3" l="1"/>
  <c r="H70" i="3" s="1"/>
  <c r="C252" i="3"/>
  <c r="B253" i="3" s="1"/>
  <c r="D253" i="3" l="1"/>
  <c r="E253" i="3" s="1"/>
  <c r="F253" i="3" s="1"/>
  <c r="C253" i="3"/>
  <c r="B254" i="3" s="1"/>
  <c r="K70" i="3"/>
  <c r="L70" i="3" s="1"/>
  <c r="I70" i="3"/>
  <c r="B71" i="3" s="1"/>
  <c r="D254" i="3" l="1"/>
  <c r="E254" i="3" s="1"/>
  <c r="F254" i="3" s="1"/>
  <c r="C71" i="3"/>
  <c r="J71" i="3"/>
  <c r="D71" i="3" l="1"/>
  <c r="E71" i="3"/>
  <c r="C254" i="3"/>
  <c r="B255" i="3" s="1"/>
  <c r="D255" i="3" l="1"/>
  <c r="E255" i="3" s="1"/>
  <c r="F255" i="3" s="1"/>
  <c r="C255" i="3"/>
  <c r="B256" i="3" s="1"/>
  <c r="G71" i="3"/>
  <c r="H71" i="3" s="1"/>
  <c r="D256" i="3" l="1"/>
  <c r="E256" i="3" s="1"/>
  <c r="F256" i="3" s="1"/>
  <c r="K71" i="3"/>
  <c r="L71" i="3" s="1"/>
  <c r="I71" i="3"/>
  <c r="B72" i="3" s="1"/>
  <c r="C72" i="3" l="1"/>
  <c r="J72" i="3"/>
  <c r="C256" i="3"/>
  <c r="B257" i="3" s="1"/>
  <c r="D257" i="3" l="1"/>
  <c r="E257" i="3" s="1"/>
  <c r="F257" i="3" s="1"/>
  <c r="C257" i="3"/>
  <c r="B258" i="3" s="1"/>
  <c r="D72" i="3"/>
  <c r="G72" i="3" s="1"/>
  <c r="H72" i="3" s="1"/>
  <c r="E72" i="3"/>
  <c r="D258" i="3" l="1"/>
  <c r="E258" i="3" s="1"/>
  <c r="F258" i="3" s="1"/>
  <c r="K72" i="3"/>
  <c r="L72" i="3" s="1"/>
  <c r="I72" i="3"/>
  <c r="B73" i="3" s="1"/>
  <c r="C73" i="3" l="1"/>
  <c r="J73" i="3"/>
  <c r="C258" i="3"/>
  <c r="D73" i="3" l="1"/>
  <c r="E73" i="3"/>
  <c r="G73" i="3" l="1"/>
  <c r="H73" i="3" s="1"/>
  <c r="K73" i="3" l="1"/>
  <c r="L73" i="3" s="1"/>
  <c r="I73" i="3"/>
  <c r="B74" i="3" s="1"/>
  <c r="C74" i="3" l="1"/>
  <c r="J74" i="3"/>
  <c r="D74" i="3" l="1"/>
  <c r="E74" i="3"/>
  <c r="G74" i="3" l="1"/>
  <c r="H74" i="3" s="1"/>
  <c r="K74" i="3" l="1"/>
  <c r="L74" i="3" s="1"/>
  <c r="I74" i="3"/>
  <c r="B75" i="3" s="1"/>
  <c r="C75" i="3" l="1"/>
  <c r="J75" i="3"/>
  <c r="D75" i="3" l="1"/>
  <c r="E75" i="3"/>
  <c r="G75" i="3" l="1"/>
  <c r="H75" i="3" s="1"/>
  <c r="K75" i="3" l="1"/>
  <c r="L75" i="3" s="1"/>
  <c r="I75" i="3"/>
  <c r="B76" i="3" s="1"/>
  <c r="C76" i="3" l="1"/>
  <c r="J76" i="3"/>
  <c r="D76" i="3" l="1"/>
  <c r="E76" i="3"/>
  <c r="G76" i="3" l="1"/>
  <c r="H76" i="3" s="1"/>
  <c r="K76" i="3" l="1"/>
  <c r="L76" i="3" s="1"/>
  <c r="I76" i="3"/>
  <c r="B77" i="3" s="1"/>
  <c r="C77" i="3" l="1"/>
  <c r="J77" i="3"/>
  <c r="D77" i="3" l="1"/>
  <c r="E77" i="3"/>
  <c r="G77" i="3" l="1"/>
  <c r="H77" i="3" s="1"/>
  <c r="K77" i="3" l="1"/>
  <c r="L77" i="3" s="1"/>
  <c r="I77" i="3"/>
  <c r="B78" i="3" s="1"/>
  <c r="C78" i="3" l="1"/>
  <c r="J78" i="3"/>
  <c r="D78" i="3" l="1"/>
  <c r="E78" i="3"/>
  <c r="G78" i="3" l="1"/>
  <c r="H78" i="3" s="1"/>
  <c r="K78" i="3" l="1"/>
  <c r="L78" i="3" s="1"/>
  <c r="I78" i="3"/>
  <c r="B79" i="3" s="1"/>
  <c r="C79" i="3" l="1"/>
  <c r="J79" i="3"/>
  <c r="D79" i="3" l="1"/>
  <c r="G79" i="3" s="1"/>
  <c r="H79" i="3" s="1"/>
  <c r="E79" i="3"/>
  <c r="K79" i="3" l="1"/>
  <c r="L79" i="3" s="1"/>
  <c r="I79" i="3"/>
  <c r="B80" i="3" s="1"/>
  <c r="C80" i="3" l="1"/>
  <c r="J80" i="3"/>
  <c r="D80" i="3" l="1"/>
  <c r="E80" i="3"/>
  <c r="G80" i="3" l="1"/>
  <c r="H80" i="3" s="1"/>
  <c r="K80" i="3" l="1"/>
  <c r="L80" i="3" s="1"/>
  <c r="I80" i="3"/>
  <c r="B81" i="3" s="1"/>
  <c r="C81" i="3" l="1"/>
  <c r="J81" i="3"/>
  <c r="D81" i="3" l="1"/>
  <c r="E81" i="3"/>
  <c r="G81" i="3" l="1"/>
  <c r="H81" i="3" s="1"/>
  <c r="K81" i="3" l="1"/>
  <c r="L81" i="3" s="1"/>
  <c r="I81" i="3"/>
  <c r="B82" i="3" s="1"/>
  <c r="C82" i="3" l="1"/>
  <c r="J82" i="3"/>
  <c r="D82" i="3" l="1"/>
  <c r="E82" i="3"/>
  <c r="G82" i="3" l="1"/>
  <c r="H82" i="3" s="1"/>
  <c r="K82" i="3" l="1"/>
  <c r="L82" i="3" s="1"/>
  <c r="I82" i="3"/>
  <c r="B83" i="3" s="1"/>
  <c r="C83" i="3" l="1"/>
  <c r="J83" i="3"/>
  <c r="D83" i="3" l="1"/>
  <c r="E83" i="3"/>
  <c r="G83" i="3" l="1"/>
  <c r="H83" i="3" s="1"/>
  <c r="K83" i="3" l="1"/>
  <c r="L83" i="3" s="1"/>
  <c r="I83" i="3"/>
  <c r="B84" i="3" s="1"/>
  <c r="C84" i="3" l="1"/>
  <c r="J84" i="3"/>
  <c r="D84" i="3" l="1"/>
  <c r="E84" i="3"/>
  <c r="G84" i="3" l="1"/>
  <c r="H84" i="3" s="1"/>
  <c r="K84" i="3" l="1"/>
  <c r="L84" i="3" s="1"/>
  <c r="I84" i="3"/>
  <c r="B85" i="3" s="1"/>
  <c r="C85" i="3" l="1"/>
  <c r="J85" i="3"/>
  <c r="D85" i="3" l="1"/>
  <c r="E85" i="3"/>
  <c r="G85" i="3" l="1"/>
  <c r="H85" i="3" s="1"/>
  <c r="K85" i="3" l="1"/>
  <c r="L85" i="3" s="1"/>
  <c r="I85" i="3"/>
  <c r="B86" i="3" s="1"/>
  <c r="C86" i="3" l="1"/>
  <c r="J86" i="3"/>
  <c r="D86" i="3" l="1"/>
  <c r="G86" i="3" s="1"/>
  <c r="H86" i="3" s="1"/>
  <c r="E86" i="3"/>
  <c r="K86" i="3" l="1"/>
  <c r="L86" i="3" s="1"/>
  <c r="I86" i="3"/>
  <c r="B87" i="3" s="1"/>
  <c r="C87" i="3" l="1"/>
  <c r="J87" i="3"/>
  <c r="D87" i="3" l="1"/>
  <c r="E87" i="3"/>
  <c r="G87" i="3" l="1"/>
  <c r="H87" i="3" s="1"/>
  <c r="K87" i="3" l="1"/>
  <c r="L87" i="3" s="1"/>
  <c r="I87" i="3"/>
  <c r="B88" i="3" s="1"/>
  <c r="C88" i="3" l="1"/>
  <c r="J88" i="3"/>
  <c r="D88" i="3" l="1"/>
  <c r="E88" i="3"/>
  <c r="G88" i="3" l="1"/>
  <c r="H88" i="3" s="1"/>
  <c r="K88" i="3" l="1"/>
  <c r="L88" i="3" s="1"/>
  <c r="I88" i="3"/>
  <c r="B89" i="3" s="1"/>
  <c r="C89" i="3" l="1"/>
  <c r="J89" i="3"/>
  <c r="D89" i="3" l="1"/>
  <c r="E89" i="3"/>
  <c r="G89" i="3" l="1"/>
  <c r="H89" i="3" s="1"/>
  <c r="K89" i="3" l="1"/>
  <c r="L89" i="3" s="1"/>
  <c r="I89" i="3"/>
  <c r="B90" i="3" s="1"/>
  <c r="C90" i="3" l="1"/>
  <c r="J90" i="3"/>
  <c r="D90" i="3" l="1"/>
  <c r="G90" i="3" s="1"/>
  <c r="H90" i="3" s="1"/>
  <c r="E90" i="3"/>
  <c r="K90" i="3" l="1"/>
  <c r="L90" i="3" s="1"/>
  <c r="I90" i="3"/>
  <c r="B91" i="3" s="1"/>
  <c r="C91" i="3" l="1"/>
  <c r="J91" i="3"/>
  <c r="D91" i="3" l="1"/>
  <c r="G91" i="3" s="1"/>
  <c r="H91" i="3" s="1"/>
  <c r="E91" i="3"/>
  <c r="K91" i="3" l="1"/>
  <c r="L91" i="3" s="1"/>
  <c r="I91" i="3"/>
  <c r="B92" i="3" s="1"/>
  <c r="C92" i="3" l="1"/>
  <c r="J92" i="3"/>
  <c r="E92" i="3" l="1"/>
  <c r="D92" i="3"/>
  <c r="G92" i="3" s="1"/>
  <c r="H92" i="3" s="1"/>
  <c r="K92" i="3" l="1"/>
  <c r="L92" i="3" s="1"/>
  <c r="I92" i="3"/>
  <c r="B93" i="3" s="1"/>
  <c r="C93" i="3" l="1"/>
  <c r="J93" i="3"/>
  <c r="E93" i="3" l="1"/>
  <c r="D93" i="3"/>
  <c r="G93" i="3" s="1"/>
  <c r="H93" i="3" s="1"/>
  <c r="K93" i="3" l="1"/>
  <c r="L93" i="3" s="1"/>
  <c r="I93" i="3"/>
  <c r="B94" i="3" s="1"/>
  <c r="C94" i="3" l="1"/>
  <c r="J94" i="3"/>
  <c r="E94" i="3" l="1"/>
  <c r="D94" i="3"/>
  <c r="G94" i="3" s="1"/>
  <c r="H94" i="3" s="1"/>
  <c r="K94" i="3" l="1"/>
  <c r="L94" i="3" s="1"/>
  <c r="I94" i="3"/>
  <c r="B95" i="3" s="1"/>
  <c r="C95" i="3" l="1"/>
  <c r="J95" i="3"/>
  <c r="E95" i="3" l="1"/>
  <c r="D95" i="3"/>
  <c r="G95" i="3" s="1"/>
  <c r="H95" i="3" s="1"/>
  <c r="K95" i="3" l="1"/>
  <c r="L95" i="3" s="1"/>
  <c r="I95" i="3"/>
  <c r="B96" i="3" s="1"/>
  <c r="C96" i="3" l="1"/>
  <c r="J96" i="3"/>
  <c r="E96" i="3" l="1"/>
  <c r="D96" i="3"/>
  <c r="G96" i="3" s="1"/>
  <c r="H96" i="3" s="1"/>
  <c r="K96" i="3" l="1"/>
  <c r="L96" i="3" s="1"/>
  <c r="I96" i="3"/>
  <c r="B97" i="3" s="1"/>
  <c r="C97" i="3" l="1"/>
  <c r="J97" i="3"/>
  <c r="E97" i="3" l="1"/>
  <c r="D97" i="3"/>
  <c r="G97" i="3" s="1"/>
  <c r="H97" i="3" s="1"/>
  <c r="K97" i="3" l="1"/>
  <c r="L97" i="3" s="1"/>
  <c r="I97" i="3"/>
  <c r="B98" i="3" s="1"/>
  <c r="C98" i="3" l="1"/>
  <c r="J98" i="3"/>
  <c r="E98" i="3" l="1"/>
  <c r="D98" i="3"/>
  <c r="G98" i="3" l="1"/>
  <c r="H98" i="3" s="1"/>
  <c r="K98" i="3" l="1"/>
  <c r="L98" i="3" s="1"/>
  <c r="I98" i="3"/>
  <c r="B99" i="3" s="1"/>
  <c r="C99" i="3" l="1"/>
  <c r="J99" i="3"/>
  <c r="E99" i="3" l="1"/>
  <c r="D99" i="3"/>
  <c r="G99" i="3" s="1"/>
  <c r="H99" i="3" s="1"/>
  <c r="K99" i="3" l="1"/>
  <c r="L99" i="3" s="1"/>
  <c r="I99" i="3"/>
  <c r="B100" i="3" s="1"/>
  <c r="C100" i="3" l="1"/>
  <c r="J100" i="3"/>
  <c r="E100" i="3" l="1"/>
  <c r="D100" i="3"/>
  <c r="G100" i="3" s="1"/>
  <c r="H100" i="3" s="1"/>
  <c r="K100" i="3" l="1"/>
  <c r="L100" i="3" s="1"/>
  <c r="I100" i="3"/>
  <c r="B101" i="3" s="1"/>
  <c r="C101" i="3" l="1"/>
  <c r="J101" i="3"/>
  <c r="E101" i="3" l="1"/>
  <c r="D101" i="3"/>
  <c r="G101" i="3" s="1"/>
  <c r="H101" i="3" s="1"/>
  <c r="K101" i="3" l="1"/>
  <c r="L101" i="3" s="1"/>
  <c r="I101" i="3"/>
  <c r="B102" i="3" s="1"/>
  <c r="C102" i="3" l="1"/>
  <c r="J102" i="3"/>
  <c r="E102" i="3" l="1"/>
  <c r="D102" i="3"/>
  <c r="G102" i="3" s="1"/>
  <c r="H102" i="3" s="1"/>
  <c r="K102" i="3" l="1"/>
  <c r="L102" i="3" s="1"/>
  <c r="I102" i="3"/>
  <c r="B103" i="3" s="1"/>
  <c r="C103" i="3" l="1"/>
  <c r="J103" i="3"/>
  <c r="E103" i="3" l="1"/>
  <c r="D103" i="3"/>
  <c r="G103" i="3" s="1"/>
  <c r="H103" i="3" s="1"/>
  <c r="K103" i="3" l="1"/>
  <c r="L103" i="3" s="1"/>
  <c r="I103" i="3"/>
  <c r="B104" i="3" s="1"/>
  <c r="C104" i="3" l="1"/>
  <c r="J104" i="3"/>
  <c r="E104" i="3" l="1"/>
  <c r="D104" i="3"/>
  <c r="G104" i="3" s="1"/>
  <c r="H104" i="3" s="1"/>
  <c r="K104" i="3" l="1"/>
  <c r="L104" i="3" s="1"/>
  <c r="I104" i="3"/>
  <c r="B105" i="3" s="1"/>
  <c r="C105" i="3" l="1"/>
  <c r="J105" i="3"/>
  <c r="E105" i="3" l="1"/>
  <c r="D105" i="3"/>
  <c r="G105" i="3" s="1"/>
  <c r="H105" i="3" s="1"/>
  <c r="I105" i="3" l="1"/>
  <c r="B106" i="3" s="1"/>
  <c r="K105" i="3"/>
  <c r="L105" i="3" s="1"/>
  <c r="C106" i="3" l="1"/>
  <c r="J106" i="3"/>
  <c r="E106" i="3" l="1"/>
  <c r="D106" i="3"/>
  <c r="G106" i="3" s="1"/>
  <c r="H106" i="3" s="1"/>
  <c r="K106" i="3" l="1"/>
  <c r="L106" i="3" s="1"/>
  <c r="I106" i="3"/>
  <c r="B107" i="3" s="1"/>
  <c r="C107" i="3" l="1"/>
  <c r="J107" i="3"/>
  <c r="E107" i="3" l="1"/>
  <c r="D107" i="3"/>
  <c r="G107" i="3" s="1"/>
  <c r="H107" i="3" s="1"/>
  <c r="I107" i="3" l="1"/>
  <c r="B108" i="3" s="1"/>
  <c r="K107" i="3"/>
  <c r="L107" i="3" s="1"/>
  <c r="C108" i="3" l="1"/>
  <c r="J108" i="3"/>
  <c r="E108" i="3" l="1"/>
  <c r="D108" i="3"/>
  <c r="G108" i="3" s="1"/>
  <c r="H108" i="3" s="1"/>
  <c r="K108" i="3" l="1"/>
  <c r="L108" i="3" s="1"/>
  <c r="I108" i="3"/>
  <c r="B109" i="3" s="1"/>
  <c r="J109" i="3" l="1"/>
  <c r="C109" i="3"/>
  <c r="E109" i="3" l="1"/>
  <c r="D109" i="3"/>
  <c r="G109" i="3" s="1"/>
  <c r="H109" i="3" s="1"/>
  <c r="K109" i="3" l="1"/>
  <c r="L109" i="3" s="1"/>
  <c r="I109" i="3"/>
  <c r="B110" i="3" s="1"/>
  <c r="J110" i="3" l="1"/>
  <c r="C110" i="3"/>
  <c r="E110" i="3" l="1"/>
  <c r="D110" i="3"/>
  <c r="G110" i="3" s="1"/>
  <c r="H110" i="3" s="1"/>
  <c r="I110" i="3" l="1"/>
  <c r="B111" i="3" s="1"/>
  <c r="K110" i="3"/>
  <c r="L110" i="3" s="1"/>
  <c r="J111" i="3" l="1"/>
  <c r="C111" i="3"/>
  <c r="E111" i="3" l="1"/>
  <c r="D111" i="3"/>
  <c r="G111" i="3" s="1"/>
  <c r="H111" i="3" s="1"/>
  <c r="K111" i="3" l="1"/>
  <c r="L111" i="3" s="1"/>
  <c r="I111" i="3"/>
  <c r="B112" i="3" s="1"/>
  <c r="J112" i="3" l="1"/>
  <c r="C112" i="3"/>
  <c r="E112" i="3" l="1"/>
  <c r="D112" i="3"/>
  <c r="G112" i="3" s="1"/>
  <c r="H112" i="3" s="1"/>
  <c r="I112" i="3" l="1"/>
  <c r="B113" i="3" s="1"/>
  <c r="K112" i="3"/>
  <c r="L112" i="3" s="1"/>
  <c r="J113" i="3" l="1"/>
  <c r="C113" i="3"/>
  <c r="E113" i="3" l="1"/>
  <c r="D113" i="3"/>
  <c r="G113" i="3" s="1"/>
  <c r="H113" i="3" s="1"/>
  <c r="I113" i="3" l="1"/>
  <c r="B114" i="3" s="1"/>
  <c r="K113" i="3"/>
  <c r="L113" i="3" s="1"/>
  <c r="J114" i="3" l="1"/>
  <c r="C114" i="3"/>
  <c r="E114" i="3" l="1"/>
  <c r="D114" i="3"/>
  <c r="G114" i="3" s="1"/>
  <c r="H114" i="3" s="1"/>
  <c r="K114" i="3" l="1"/>
  <c r="L114" i="3" s="1"/>
  <c r="I114" i="3"/>
  <c r="B115" i="3" s="1"/>
  <c r="J115" i="3" l="1"/>
  <c r="C115" i="3"/>
  <c r="E115" i="3" l="1"/>
  <c r="D115" i="3"/>
  <c r="G115" i="3" s="1"/>
  <c r="H115" i="3" s="1"/>
  <c r="K115" i="3" l="1"/>
  <c r="L115" i="3" s="1"/>
  <c r="I115" i="3"/>
  <c r="B116" i="3" s="1"/>
  <c r="J116" i="3" l="1"/>
  <c r="C116" i="3"/>
  <c r="E116" i="3" l="1"/>
  <c r="D116" i="3"/>
  <c r="G116" i="3" s="1"/>
  <c r="H116" i="3" s="1"/>
  <c r="K116" i="3" l="1"/>
  <c r="L116" i="3" s="1"/>
  <c r="I116" i="3"/>
  <c r="B117" i="3" s="1"/>
  <c r="J117" i="3" l="1"/>
  <c r="C117" i="3"/>
  <c r="D117" i="3" l="1"/>
  <c r="E117" i="3"/>
  <c r="G117" i="3" l="1"/>
  <c r="H117" i="3" s="1"/>
  <c r="K117" i="3" l="1"/>
  <c r="L117" i="3" s="1"/>
  <c r="I117" i="3"/>
  <c r="B118" i="3" s="1"/>
  <c r="J118" i="3" l="1"/>
  <c r="C118" i="3"/>
  <c r="E118" i="3" l="1"/>
  <c r="D118" i="3"/>
  <c r="G118" i="3" s="1"/>
  <c r="H118" i="3" s="1"/>
  <c r="K118" i="3" l="1"/>
  <c r="L118" i="3" s="1"/>
  <c r="I118" i="3"/>
  <c r="B119" i="3" s="1"/>
  <c r="J119" i="3" l="1"/>
  <c r="C119" i="3"/>
  <c r="E119" i="3" l="1"/>
  <c r="D119" i="3"/>
  <c r="G119" i="3" s="1"/>
  <c r="H119" i="3" s="1"/>
  <c r="K119" i="3" l="1"/>
  <c r="L119" i="3" s="1"/>
  <c r="I119" i="3"/>
  <c r="B120" i="3" s="1"/>
  <c r="J120" i="3" l="1"/>
  <c r="C120" i="3"/>
  <c r="E120" i="3" l="1"/>
  <c r="D120" i="3"/>
  <c r="G120" i="3" s="1"/>
  <c r="H120" i="3" s="1"/>
  <c r="I120" i="3" l="1"/>
  <c r="B121" i="3" s="1"/>
  <c r="K120" i="3"/>
  <c r="L120" i="3" s="1"/>
  <c r="J121" i="3" l="1"/>
  <c r="C121" i="3"/>
  <c r="E121" i="3" l="1"/>
  <c r="D121" i="3"/>
  <c r="G121" i="3" s="1"/>
  <c r="H121" i="3" s="1"/>
  <c r="K121" i="3" l="1"/>
  <c r="L121" i="3" s="1"/>
  <c r="I121" i="3"/>
  <c r="B122" i="3" s="1"/>
  <c r="J122" i="3" l="1"/>
  <c r="C122" i="3"/>
  <c r="E122" i="3" l="1"/>
  <c r="D122" i="3"/>
  <c r="G122" i="3" s="1"/>
  <c r="H122" i="3" s="1"/>
  <c r="I122" i="3" l="1"/>
  <c r="B123" i="3" s="1"/>
  <c r="K122" i="3"/>
  <c r="L122" i="3" s="1"/>
  <c r="J123" i="3" l="1"/>
  <c r="C123" i="3"/>
  <c r="E123" i="3" l="1"/>
  <c r="D123" i="3"/>
  <c r="G123" i="3" s="1"/>
  <c r="H123" i="3" s="1"/>
  <c r="K123" i="3" l="1"/>
  <c r="L123" i="3" s="1"/>
  <c r="I123" i="3"/>
  <c r="B124" i="3" s="1"/>
  <c r="J124" i="3" l="1"/>
  <c r="C124" i="3"/>
  <c r="E124" i="3" l="1"/>
  <c r="D124" i="3"/>
  <c r="G124" i="3" s="1"/>
  <c r="H124" i="3" s="1"/>
  <c r="I124" i="3" l="1"/>
  <c r="B125" i="3" s="1"/>
  <c r="K124" i="3"/>
  <c r="L124" i="3" s="1"/>
  <c r="J125" i="3" l="1"/>
  <c r="C125" i="3"/>
  <c r="E125" i="3" l="1"/>
  <c r="D125" i="3"/>
  <c r="G125" i="3" s="1"/>
  <c r="H125" i="3" s="1"/>
  <c r="K125" i="3" l="1"/>
  <c r="L125" i="3" s="1"/>
  <c r="I125" i="3"/>
  <c r="B126" i="3" s="1"/>
  <c r="J126" i="3" l="1"/>
  <c r="C126" i="3"/>
  <c r="E126" i="3" l="1"/>
  <c r="D126" i="3"/>
  <c r="G126" i="3" s="1"/>
  <c r="H126" i="3" s="1"/>
  <c r="I126" i="3" l="1"/>
  <c r="B127" i="3" s="1"/>
  <c r="K126" i="3"/>
  <c r="L126" i="3" s="1"/>
  <c r="J127" i="3" l="1"/>
  <c r="C127" i="3"/>
  <c r="E127" i="3" l="1"/>
  <c r="D127" i="3"/>
  <c r="G127" i="3" s="1"/>
  <c r="H127" i="3" s="1"/>
  <c r="K127" i="3" l="1"/>
  <c r="L127" i="3" s="1"/>
  <c r="I127" i="3"/>
  <c r="B128" i="3" s="1"/>
  <c r="J128" i="3" l="1"/>
  <c r="C128" i="3"/>
  <c r="E128" i="3" l="1"/>
  <c r="D128" i="3"/>
  <c r="G128" i="3" s="1"/>
  <c r="H128" i="3" s="1"/>
  <c r="I128" i="3" l="1"/>
  <c r="B129" i="3" s="1"/>
  <c r="K128" i="3"/>
  <c r="L128" i="3" s="1"/>
  <c r="J129" i="3" l="1"/>
  <c r="C129" i="3"/>
  <c r="E129" i="3" l="1"/>
  <c r="D129" i="3"/>
  <c r="G129" i="3" s="1"/>
  <c r="H129" i="3" s="1"/>
  <c r="I129" i="3" l="1"/>
  <c r="B130" i="3" s="1"/>
  <c r="K129" i="3"/>
  <c r="L129" i="3" s="1"/>
  <c r="J130" i="3" l="1"/>
  <c r="C130" i="3"/>
  <c r="E130" i="3" l="1"/>
  <c r="D130" i="3"/>
  <c r="G130" i="3" s="1"/>
  <c r="H130" i="3" s="1"/>
  <c r="I130" i="3" l="1"/>
  <c r="B131" i="3" s="1"/>
  <c r="K130" i="3"/>
  <c r="L130" i="3" s="1"/>
  <c r="J131" i="3" l="1"/>
  <c r="C131" i="3"/>
  <c r="E131" i="3" l="1"/>
  <c r="D131" i="3"/>
  <c r="G131" i="3" s="1"/>
  <c r="H131" i="3" s="1"/>
  <c r="I131" i="3" l="1"/>
  <c r="B132" i="3" s="1"/>
  <c r="K131" i="3"/>
  <c r="L131" i="3" s="1"/>
  <c r="J132" i="3" l="1"/>
  <c r="C132" i="3"/>
  <c r="E132" i="3" l="1"/>
  <c r="D132" i="3"/>
  <c r="G132" i="3" s="1"/>
  <c r="H132" i="3" s="1"/>
  <c r="I132" i="3" l="1"/>
  <c r="K132" i="3"/>
  <c r="L132" i="3" s="1"/>
</calcChain>
</file>

<file path=xl/sharedStrings.xml><?xml version="1.0" encoding="utf-8"?>
<sst xmlns="http://schemas.openxmlformats.org/spreadsheetml/2006/main" count="401" uniqueCount="126">
  <si>
    <t>A : 12-dichloroethane</t>
  </si>
  <si>
    <t>B : CVM</t>
  </si>
  <si>
    <t>C : HCl</t>
  </si>
  <si>
    <t>P</t>
  </si>
  <si>
    <t>MA</t>
  </si>
  <si>
    <t>g/mol</t>
  </si>
  <si>
    <t>MB</t>
  </si>
  <si>
    <t>MC</t>
  </si>
  <si>
    <t>dHr</t>
  </si>
  <si>
    <t>J/mol</t>
  </si>
  <si>
    <t>Tc</t>
  </si>
  <si>
    <t>Pc</t>
  </si>
  <si>
    <t>TE</t>
  </si>
  <si>
    <t>w</t>
  </si>
  <si>
    <t>TS</t>
  </si>
  <si>
    <t>CpA</t>
  </si>
  <si>
    <t>J/mol.K</t>
  </si>
  <si>
    <t>CpB</t>
  </si>
  <si>
    <t>CpC</t>
  </si>
  <si>
    <t>dX</t>
  </si>
  <si>
    <t>H0A</t>
  </si>
  <si>
    <t>H0B</t>
  </si>
  <si>
    <t>H0C</t>
  </si>
  <si>
    <t>F0A</t>
  </si>
  <si>
    <t>mol/s</t>
  </si>
  <si>
    <t>Pitzer Curl Tsonopoulos</t>
  </si>
  <si>
    <t>Viriel</t>
  </si>
  <si>
    <t>GP</t>
  </si>
  <si>
    <t>Xa</t>
  </si>
  <si>
    <t>T</t>
  </si>
  <si>
    <t>Tr</t>
  </si>
  <si>
    <t>F0</t>
  </si>
  <si>
    <t>F1</t>
  </si>
  <si>
    <t>omega</t>
  </si>
  <si>
    <t>B</t>
  </si>
  <si>
    <t>Z</t>
  </si>
  <si>
    <t>k</t>
  </si>
  <si>
    <t>dV</t>
  </si>
  <si>
    <t>V</t>
  </si>
  <si>
    <t>h</t>
  </si>
  <si>
    <t>a</t>
  </si>
  <si>
    <t>Tp</t>
  </si>
  <si>
    <t>dT</t>
  </si>
  <si>
    <t>Vcumule</t>
  </si>
  <si>
    <t>0</t>
  </si>
  <si>
    <t>UNITE DE PRODUCTION DE CVM</t>
  </si>
  <si>
    <t>données procédés</t>
  </si>
  <si>
    <t>données physico-chimiques</t>
  </si>
  <si>
    <t>calculé par solveur</t>
  </si>
  <si>
    <t xml:space="preserve">spécifications </t>
  </si>
  <si>
    <t>entrée réacteur</t>
  </si>
  <si>
    <t>entrée séparateur</t>
  </si>
  <si>
    <t>D12</t>
  </si>
  <si>
    <t>HCl</t>
  </si>
  <si>
    <t>CVM</t>
  </si>
  <si>
    <t>D11</t>
  </si>
  <si>
    <t>sortie HCl</t>
  </si>
  <si>
    <t>Débit total (mol/s)</t>
  </si>
  <si>
    <t>T (K)</t>
  </si>
  <si>
    <t>taux de séparation</t>
  </si>
  <si>
    <t>P (atm)</t>
  </si>
  <si>
    <t>tête</t>
  </si>
  <si>
    <t>pied</t>
  </si>
  <si>
    <t>pourcentage D12</t>
  </si>
  <si>
    <t>sortie reacteur</t>
  </si>
  <si>
    <t>mélange tertiaire</t>
  </si>
  <si>
    <t>P(atm)</t>
  </si>
  <si>
    <t>sortie CVM</t>
  </si>
  <si>
    <t>T/an</t>
  </si>
  <si>
    <t>g/s</t>
  </si>
  <si>
    <t>D12 recyclée entrée</t>
  </si>
  <si>
    <t>H (kW)</t>
  </si>
  <si>
    <t>mélange binaire</t>
  </si>
  <si>
    <t>sortie D11</t>
  </si>
  <si>
    <t>Masse molaire (g/mol)</t>
  </si>
  <si>
    <t>unité masse</t>
  </si>
  <si>
    <t>unité mol</t>
  </si>
  <si>
    <t>unité temps masse</t>
  </si>
  <si>
    <t>unité temps mol</t>
  </si>
  <si>
    <t>recyclage</t>
  </si>
  <si>
    <t>taux de purge</t>
  </si>
  <si>
    <t>entrée</t>
  </si>
  <si>
    <t>sortie</t>
  </si>
  <si>
    <t>tableau récap</t>
  </si>
  <si>
    <t>COURANT</t>
  </si>
  <si>
    <t>Température (K)</t>
  </si>
  <si>
    <t>Pression (atm)</t>
  </si>
  <si>
    <t>Débits</t>
  </si>
  <si>
    <t>kmol/h</t>
  </si>
  <si>
    <t>kg/h</t>
  </si>
  <si>
    <t>Total</t>
  </si>
  <si>
    <t>D12 recyclée sortie</t>
  </si>
  <si>
    <t>Purge</t>
  </si>
  <si>
    <t>d'après le TD d'afp</t>
  </si>
  <si>
    <t>T en K</t>
  </si>
  <si>
    <t>cal/mol/K</t>
  </si>
  <si>
    <t>REACTEUR</t>
  </si>
  <si>
    <t>taux de conversion</t>
  </si>
  <si>
    <t>Avancements</t>
  </si>
  <si>
    <t>T eb 1atm</t>
  </si>
  <si>
    <t>T eb 4,8 amt</t>
  </si>
  <si>
    <t>T eb 12 atm</t>
  </si>
  <si>
    <t>T eb 26 atm</t>
  </si>
  <si>
    <t>Cp liquide</t>
  </si>
  <si>
    <t>Cp gaz</t>
  </si>
  <si>
    <t>R1</t>
  </si>
  <si>
    <t>R2</t>
  </si>
  <si>
    <t>::</t>
  </si>
  <si>
    <t>Température (°C)</t>
  </si>
  <si>
    <t>Etat (liquide/gazeux) en %mol</t>
  </si>
  <si>
    <t>Liquide</t>
  </si>
  <si>
    <t>Vapeur</t>
  </si>
  <si>
    <t>0,754/0,246</t>
  </si>
  <si>
    <t>0,867/0,133</t>
  </si>
  <si>
    <t>Modèle</t>
  </si>
  <si>
    <t>Profil thermodynamique: Peng-Robinson (PR)</t>
  </si>
  <si>
    <t>Modèle thermodynamique: Par équation d'état</t>
  </si>
  <si>
    <t>Règles de mélange: Standard</t>
  </si>
  <si>
    <t>Volume molaire liquide: Lee-Kesler-Plocker (LKP)</t>
  </si>
  <si>
    <t>Equation d'état phase gaz: PR Généralisée</t>
  </si>
  <si>
    <t>Modéle des coefficients d'activité: Non défini</t>
  </si>
  <si>
    <t>Fugacité liquide pur état standard: Standard</t>
  </si>
  <si>
    <t>Propriétés de transport: Modèle de Ely-Hanley (méthode TRAPP)</t>
  </si>
  <si>
    <t>Fractions liquide (Bulle - Molaire)</t>
  </si>
  <si>
    <t>Fractions vapeur (Bulle - Molaire)</t>
  </si>
  <si>
    <t>1,1-DICHLOROETHANE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</si>
</sst>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"/>
    <numFmt numFmtId="165" formatCode="0.000"/>
    <numFmt numFmtId="166" formatCode="0.00000"/>
    <numFmt numFmtId="167" formatCode="0.0"/>
  </numFmts>
  <fonts count="1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</font>
    <font>
      <sz val="11"/>
      <name val="Calibri"/>
      <family val="2"/>
    </font>
    <font>
      <b/>
      <i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sz val="9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theme="5"/>
        <bgColor theme="5"/>
      </patternFill>
    </fill>
    <fill>
      <patternFill patternType="solid">
        <fgColor rgb="FFD9E2F3"/>
        <bgColor rgb="FFD9E2F3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E69138"/>
        <bgColor rgb="FFE69138"/>
      </patternFill>
    </fill>
    <fill>
      <patternFill patternType="solid">
        <fgColor rgb="FF6D9EEB"/>
        <bgColor rgb="FF6D9EEB"/>
      </patternFill>
    </fill>
    <fill>
      <patternFill patternType="solid">
        <fgColor rgb="FFF7CAAC"/>
        <bgColor rgb="FFF7CAAC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46">
    <xf numFmtId="0" fontId="0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5" fillId="0" borderId="4" xfId="0" applyFont="1" applyBorder="1" applyAlignment="1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4" fillId="0" borderId="5" xfId="0" applyFont="1" applyBorder="1" applyAlignment="1"/>
    <xf numFmtId="0" fontId="5" fillId="0" borderId="5" xfId="0" applyFont="1" applyBorder="1" applyAlignment="1">
      <alignment horizontal="right"/>
    </xf>
    <xf numFmtId="0" fontId="4" fillId="0" borderId="4" xfId="0" applyFont="1" applyBorder="1" applyAlignment="1"/>
    <xf numFmtId="0" fontId="5" fillId="0" borderId="5" xfId="0" applyFont="1" applyBorder="1" applyAlignment="1"/>
    <xf numFmtId="0" fontId="5" fillId="2" borderId="6" xfId="0" applyFont="1" applyFill="1" applyBorder="1" applyAlignment="1"/>
    <xf numFmtId="0" fontId="5" fillId="2" borderId="7" xfId="0" applyFont="1" applyFill="1" applyBorder="1" applyAlignment="1">
      <alignment horizontal="right"/>
    </xf>
    <xf numFmtId="0" fontId="5" fillId="2" borderId="7" xfId="0" applyFont="1" applyFill="1" applyBorder="1" applyAlignment="1"/>
    <xf numFmtId="0" fontId="4" fillId="2" borderId="8" xfId="0" applyFont="1" applyFill="1" applyBorder="1" applyAlignment="1"/>
    <xf numFmtId="0" fontId="5" fillId="0" borderId="9" xfId="0" applyFont="1" applyBorder="1" applyAlignment="1"/>
    <xf numFmtId="0" fontId="5" fillId="0" borderId="10" xfId="0" applyFont="1" applyBorder="1" applyAlignment="1">
      <alignment horizontal="right"/>
    </xf>
    <xf numFmtId="0" fontId="5" fillId="0" borderId="10" xfId="0" applyFont="1" applyBorder="1" applyAlignment="1"/>
    <xf numFmtId="0" fontId="4" fillId="0" borderId="11" xfId="0" applyFont="1" applyBorder="1" applyAlignment="1"/>
    <xf numFmtId="0" fontId="4" fillId="0" borderId="9" xfId="0" applyFont="1" applyBorder="1" applyAlignment="1"/>
    <xf numFmtId="0" fontId="4" fillId="0" borderId="10" xfId="0" applyFont="1" applyBorder="1" applyAlignment="1"/>
    <xf numFmtId="0" fontId="4" fillId="0" borderId="0" xfId="0" applyFont="1" applyAlignment="1">
      <alignment horizontal="center"/>
    </xf>
    <xf numFmtId="0" fontId="4" fillId="3" borderId="7" xfId="0" applyFont="1" applyFill="1" applyBorder="1" applyAlignment="1">
      <alignment horizontal="right"/>
    </xf>
    <xf numFmtId="0" fontId="4" fillId="3" borderId="0" xfId="0" applyFont="1" applyFill="1" applyAlignment="1">
      <alignment horizontal="right"/>
    </xf>
    <xf numFmtId="0" fontId="4" fillId="3" borderId="12" xfId="0" applyFont="1" applyFill="1" applyBorder="1" applyAlignment="1">
      <alignment horizontal="right"/>
    </xf>
    <xf numFmtId="0" fontId="4" fillId="3" borderId="13" xfId="0" applyFont="1" applyFill="1" applyBorder="1" applyAlignment="1">
      <alignment horizontal="right"/>
    </xf>
    <xf numFmtId="0" fontId="4" fillId="3" borderId="14" xfId="0" applyFont="1" applyFill="1" applyBorder="1" applyAlignment="1">
      <alignment horizontal="right"/>
    </xf>
    <xf numFmtId="0" fontId="4" fillId="0" borderId="15" xfId="0" applyFont="1" applyBorder="1" applyAlignment="1"/>
    <xf numFmtId="0" fontId="4" fillId="0" borderId="7" xfId="0" applyFont="1" applyBorder="1" applyAlignment="1"/>
    <xf numFmtId="0" fontId="4" fillId="0" borderId="0" xfId="0" applyFont="1" applyAlignment="1">
      <alignment horizontal="right"/>
    </xf>
    <xf numFmtId="0" fontId="6" fillId="0" borderId="0" xfId="0" applyFont="1" applyAlignment="1"/>
    <xf numFmtId="0" fontId="4" fillId="0" borderId="0" xfId="0" applyFont="1" applyAlignment="1"/>
    <xf numFmtId="0" fontId="4" fillId="3" borderId="15" xfId="0" applyFont="1" applyFill="1" applyBorder="1" applyAlignment="1"/>
    <xf numFmtId="0" fontId="4" fillId="3" borderId="7" xfId="0" applyFont="1" applyFill="1" applyBorder="1" applyAlignment="1"/>
    <xf numFmtId="164" fontId="4" fillId="0" borderId="0" xfId="0" applyNumberFormat="1" applyFont="1" applyAlignment="1"/>
    <xf numFmtId="49" fontId="4" fillId="0" borderId="0" xfId="0" applyNumberFormat="1" applyFont="1" applyAlignment="1"/>
    <xf numFmtId="49" fontId="4" fillId="3" borderId="7" xfId="0" applyNumberFormat="1" applyFont="1" applyFill="1" applyBorder="1" applyAlignment="1"/>
    <xf numFmtId="49" fontId="4" fillId="3" borderId="0" xfId="0" applyNumberFormat="1" applyFont="1" applyFill="1" applyAlignment="1"/>
    <xf numFmtId="49" fontId="4" fillId="3" borderId="12" xfId="0" applyNumberFormat="1" applyFont="1" applyFill="1" applyBorder="1" applyAlignment="1"/>
    <xf numFmtId="49" fontId="4" fillId="3" borderId="13" xfId="0" applyNumberFormat="1" applyFont="1" applyFill="1" applyBorder="1" applyAlignme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0" borderId="0" xfId="0" applyFont="1" applyAlignment="1">
      <alignment horizont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center"/>
    </xf>
    <xf numFmtId="0" fontId="4" fillId="4" borderId="16" xfId="0" applyFont="1" applyFill="1" applyBorder="1"/>
    <xf numFmtId="0" fontId="4" fillId="0" borderId="17" xfId="0" applyFont="1" applyBorder="1" applyAlignment="1">
      <alignment horizontal="left"/>
    </xf>
    <xf numFmtId="0" fontId="8" fillId="0" borderId="18" xfId="0" applyFont="1" applyBorder="1"/>
    <xf numFmtId="0" fontId="4" fillId="5" borderId="16" xfId="0" applyFont="1" applyFill="1" applyBorder="1"/>
    <xf numFmtId="0" fontId="4" fillId="3" borderId="16" xfId="0" applyFont="1" applyFill="1" applyBorder="1"/>
    <xf numFmtId="0" fontId="5" fillId="0" borderId="17" xfId="0" applyFont="1" applyBorder="1" applyAlignment="1">
      <alignment horizontal="left"/>
    </xf>
    <xf numFmtId="0" fontId="4" fillId="6" borderId="16" xfId="0" applyFont="1" applyFill="1" applyBorder="1"/>
    <xf numFmtId="0" fontId="2" fillId="0" borderId="16" xfId="0" applyFont="1" applyBorder="1"/>
    <xf numFmtId="0" fontId="9" fillId="0" borderId="16" xfId="0" applyFont="1" applyBorder="1" applyAlignment="1">
      <alignment horizontal="center"/>
    </xf>
    <xf numFmtId="0" fontId="5" fillId="0" borderId="16" xfId="0" applyFont="1" applyBorder="1"/>
    <xf numFmtId="2" fontId="5" fillId="7" borderId="16" xfId="0" applyNumberFormat="1" applyFont="1" applyFill="1" applyBorder="1"/>
    <xf numFmtId="2" fontId="5" fillId="0" borderId="0" xfId="0" applyNumberFormat="1" applyFont="1"/>
    <xf numFmtId="0" fontId="4" fillId="0" borderId="0" xfId="0" applyFont="1"/>
    <xf numFmtId="2" fontId="5" fillId="0" borderId="16" xfId="0" applyNumberFormat="1" applyFont="1" applyBorder="1"/>
    <xf numFmtId="0" fontId="5" fillId="0" borderId="19" xfId="0" applyFont="1" applyBorder="1"/>
    <xf numFmtId="0" fontId="4" fillId="4" borderId="19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0" fillId="0" borderId="0" xfId="0" applyFont="1"/>
    <xf numFmtId="2" fontId="5" fillId="3" borderId="16" xfId="0" applyNumberFormat="1" applyFont="1" applyFill="1" applyBorder="1"/>
    <xf numFmtId="2" fontId="10" fillId="0" borderId="0" xfId="0" applyNumberFormat="1" applyFont="1"/>
    <xf numFmtId="0" fontId="5" fillId="8" borderId="16" xfId="0" applyFont="1" applyFill="1" applyBorder="1"/>
    <xf numFmtId="2" fontId="4" fillId="0" borderId="0" xfId="0" applyNumberFormat="1" applyFont="1"/>
    <xf numFmtId="2" fontId="4" fillId="0" borderId="16" xfId="0" applyNumberFormat="1" applyFont="1" applyBorder="1"/>
    <xf numFmtId="165" fontId="5" fillId="0" borderId="16" xfId="0" applyNumberFormat="1" applyFont="1" applyBorder="1"/>
    <xf numFmtId="166" fontId="5" fillId="0" borderId="16" xfId="0" applyNumberFormat="1" applyFont="1" applyBorder="1"/>
    <xf numFmtId="0" fontId="10" fillId="4" borderId="16" xfId="0" applyFont="1" applyFill="1" applyBorder="1"/>
    <xf numFmtId="0" fontId="4" fillId="9" borderId="16" xfId="0" applyFont="1" applyFill="1" applyBorder="1"/>
    <xf numFmtId="167" fontId="4" fillId="9" borderId="16" xfId="0" applyNumberFormat="1" applyFont="1" applyFill="1" applyBorder="1"/>
    <xf numFmtId="0" fontId="11" fillId="0" borderId="0" xfId="0" applyFont="1"/>
    <xf numFmtId="0" fontId="10" fillId="0" borderId="0" xfId="0" applyFont="1" applyAlignment="1">
      <alignment horizontal="center"/>
    </xf>
    <xf numFmtId="0" fontId="2" fillId="0" borderId="0" xfId="0" applyFont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/>
    <xf numFmtId="0" fontId="5" fillId="0" borderId="16" xfId="0" applyFont="1" applyBorder="1" applyAlignment="1">
      <alignment horizontal="center"/>
    </xf>
    <xf numFmtId="0" fontId="1" fillId="0" borderId="16" xfId="0" applyFont="1" applyBorder="1"/>
    <xf numFmtId="0" fontId="4" fillId="0" borderId="16" xfId="0" applyFont="1" applyBorder="1"/>
    <xf numFmtId="0" fontId="5" fillId="10" borderId="16" xfId="0" applyFont="1" applyFill="1" applyBorder="1"/>
    <xf numFmtId="0" fontId="5" fillId="11" borderId="16" xfId="0" applyFont="1" applyFill="1" applyBorder="1"/>
    <xf numFmtId="0" fontId="4" fillId="11" borderId="16" xfId="0" applyFont="1" applyFill="1" applyBorder="1"/>
    <xf numFmtId="165" fontId="4" fillId="0" borderId="0" xfId="0" applyNumberFormat="1" applyFont="1"/>
    <xf numFmtId="165" fontId="5" fillId="11" borderId="16" xfId="0" applyNumberFormat="1" applyFont="1" applyFill="1" applyBorder="1"/>
    <xf numFmtId="165" fontId="4" fillId="11" borderId="16" xfId="0" applyNumberFormat="1" applyFont="1" applyFill="1" applyBorder="1"/>
    <xf numFmtId="165" fontId="5" fillId="0" borderId="0" xfId="0" applyNumberFormat="1" applyFont="1" applyAlignment="1">
      <alignment horizontal="center"/>
    </xf>
    <xf numFmtId="165" fontId="5" fillId="0" borderId="0" xfId="0" applyNumberFormat="1" applyFont="1"/>
    <xf numFmtId="0" fontId="4" fillId="0" borderId="16" xfId="0" applyFont="1" applyBorder="1" applyAlignment="1">
      <alignment horizontal="center"/>
    </xf>
    <xf numFmtId="165" fontId="5" fillId="0" borderId="16" xfId="0" applyNumberFormat="1" applyFont="1" applyBorder="1" applyAlignment="1">
      <alignment horizontal="center"/>
    </xf>
    <xf numFmtId="165" fontId="4" fillId="0" borderId="16" xfId="0" applyNumberFormat="1" applyFont="1" applyBorder="1" applyAlignment="1">
      <alignment horizontal="center"/>
    </xf>
    <xf numFmtId="165" fontId="4" fillId="0" borderId="16" xfId="0" applyNumberFormat="1" applyFont="1" applyBorder="1"/>
    <xf numFmtId="0" fontId="5" fillId="12" borderId="16" xfId="0" applyFont="1" applyFill="1" applyBorder="1"/>
    <xf numFmtId="0" fontId="5" fillId="12" borderId="16" xfId="0" applyFont="1" applyFill="1" applyBorder="1" applyAlignment="1">
      <alignment horizontal="center"/>
    </xf>
    <xf numFmtId="0" fontId="4" fillId="12" borderId="16" xfId="0" applyFont="1" applyFill="1" applyBorder="1"/>
    <xf numFmtId="0" fontId="4" fillId="5" borderId="16" xfId="0" applyFont="1" applyFill="1" applyBorder="1" applyAlignment="1">
      <alignment horizontal="center"/>
    </xf>
    <xf numFmtId="0" fontId="4" fillId="0" borderId="18" xfId="0" applyFont="1" applyBorder="1"/>
    <xf numFmtId="0" fontId="4" fillId="4" borderId="16" xfId="0" applyFont="1" applyFill="1" applyBorder="1" applyAlignment="1">
      <alignment horizontal="center"/>
    </xf>
    <xf numFmtId="2" fontId="12" fillId="0" borderId="16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13" borderId="16" xfId="0" applyFont="1" applyFill="1" applyBorder="1"/>
    <xf numFmtId="0" fontId="4" fillId="14" borderId="17" xfId="0" applyFont="1" applyFill="1" applyBorder="1" applyAlignment="1">
      <alignment horizontal="center"/>
    </xf>
    <xf numFmtId="1" fontId="4" fillId="14" borderId="17" xfId="0" applyNumberFormat="1" applyFont="1" applyFill="1" applyBorder="1" applyAlignment="1">
      <alignment horizontal="center"/>
    </xf>
    <xf numFmtId="0" fontId="4" fillId="15" borderId="16" xfId="0" applyFont="1" applyFill="1" applyBorder="1" applyAlignment="1">
      <alignment horizontal="center" vertical="center"/>
    </xf>
    <xf numFmtId="1" fontId="4" fillId="15" borderId="16" xfId="0" applyNumberFormat="1" applyFont="1" applyFill="1" applyBorder="1" applyAlignment="1">
      <alignment horizontal="center" vertical="center"/>
    </xf>
    <xf numFmtId="0" fontId="4" fillId="16" borderId="16" xfId="0" applyFont="1" applyFill="1" applyBorder="1" applyAlignment="1">
      <alignment horizontal="center" vertical="center"/>
    </xf>
    <xf numFmtId="1" fontId="4" fillId="16" borderId="16" xfId="0" applyNumberFormat="1" applyFont="1" applyFill="1" applyBorder="1" applyAlignment="1">
      <alignment horizontal="center" vertical="center"/>
    </xf>
    <xf numFmtId="0" fontId="4" fillId="13" borderId="16" xfId="0" applyFont="1" applyFill="1" applyBorder="1" applyAlignment="1">
      <alignment vertical="top" wrapText="1"/>
    </xf>
    <xf numFmtId="0" fontId="4" fillId="17" borderId="15" xfId="0" applyFont="1" applyFill="1" applyBorder="1" applyAlignment="1">
      <alignment horizontal="center" vertical="center"/>
    </xf>
    <xf numFmtId="0" fontId="8" fillId="0" borderId="15" xfId="0" applyFont="1" applyBorder="1"/>
    <xf numFmtId="0" fontId="4" fillId="17" borderId="15" xfId="0" applyFont="1" applyFill="1" applyBorder="1" applyAlignment="1">
      <alignment horizontal="center" vertical="center"/>
    </xf>
    <xf numFmtId="0" fontId="4" fillId="18" borderId="16" xfId="0" applyFont="1" applyFill="1" applyBorder="1"/>
    <xf numFmtId="0" fontId="4" fillId="19" borderId="16" xfId="0" applyFont="1" applyFill="1" applyBorder="1"/>
    <xf numFmtId="165" fontId="4" fillId="18" borderId="16" xfId="0" applyNumberFormat="1" applyFont="1" applyFill="1" applyBorder="1"/>
    <xf numFmtId="0" fontId="4" fillId="20" borderId="16" xfId="0" applyFont="1" applyFill="1" applyBorder="1"/>
    <xf numFmtId="165" fontId="4" fillId="19" borderId="16" xfId="0" applyNumberFormat="1" applyFont="1" applyFill="1" applyBorder="1"/>
    <xf numFmtId="165" fontId="4" fillId="20" borderId="16" xfId="0" applyNumberFormat="1" applyFont="1" applyFill="1" applyBorder="1"/>
    <xf numFmtId="1" fontId="4" fillId="18" borderId="16" xfId="0" applyNumberFormat="1" applyFont="1" applyFill="1" applyBorder="1"/>
    <xf numFmtId="1" fontId="4" fillId="20" borderId="16" xfId="0" applyNumberFormat="1" applyFont="1" applyFill="1" applyBorder="1"/>
    <xf numFmtId="1" fontId="4" fillId="19" borderId="16" xfId="0" applyNumberFormat="1" applyFont="1" applyFill="1" applyBorder="1"/>
    <xf numFmtId="1" fontId="4" fillId="18" borderId="20" xfId="0" applyNumberFormat="1" applyFont="1" applyFill="1" applyBorder="1"/>
    <xf numFmtId="1" fontId="4" fillId="19" borderId="20" xfId="0" applyNumberFormat="1" applyFont="1" applyFill="1" applyBorder="1"/>
    <xf numFmtId="165" fontId="4" fillId="18" borderId="20" xfId="0" applyNumberFormat="1" applyFont="1" applyFill="1" applyBorder="1"/>
    <xf numFmtId="165" fontId="4" fillId="20" borderId="20" xfId="0" applyNumberFormat="1" applyFont="1" applyFill="1" applyBorder="1"/>
    <xf numFmtId="1" fontId="4" fillId="20" borderId="20" xfId="0" applyNumberFormat="1" applyFont="1" applyFill="1" applyBorder="1"/>
    <xf numFmtId="0" fontId="4" fillId="13" borderId="17" xfId="0" applyFont="1" applyFill="1" applyBorder="1"/>
    <xf numFmtId="165" fontId="4" fillId="18" borderId="16" xfId="0" applyNumberFormat="1" applyFont="1" applyFill="1" applyBorder="1" applyAlignment="1">
      <alignment horizontal="center"/>
    </xf>
    <xf numFmtId="165" fontId="4" fillId="19" borderId="16" xfId="0" applyNumberFormat="1" applyFont="1" applyFill="1" applyBorder="1" applyAlignment="1">
      <alignment horizontal="center"/>
    </xf>
    <xf numFmtId="165" fontId="4" fillId="20" borderId="16" xfId="0" applyNumberFormat="1" applyFont="1" applyFill="1" applyBorder="1" applyAlignment="1">
      <alignment horizontal="center"/>
    </xf>
    <xf numFmtId="0" fontId="4" fillId="0" borderId="0" xfId="0" applyFont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1" xfId="0" applyBorder="1" applyAlignment="1">
      <alignment horizontal="right" wrapText="1"/>
    </xf>
    <xf numFmtId="0" fontId="0" fillId="0" borderId="21" xfId="0" applyBorder="1" applyAlignment="1">
      <alignment horizontal="center" wrapText="1"/>
    </xf>
    <xf numFmtId="0" fontId="0" fillId="0" borderId="21" xfId="0" applyBorder="1" applyAlignment="1">
      <alignment vertical="center"/>
    </xf>
    <xf numFmtId="0" fontId="0" fillId="0" borderId="25" xfId="0" applyBorder="1" applyAlignment="1">
      <alignment horizontal="right" wrapText="1"/>
    </xf>
    <xf numFmtId="0" fontId="0" fillId="0" borderId="26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518616385037498E-2"/>
          <c:y val="4.8348558433349148E-2"/>
          <c:w val="0.96184606017854379"/>
          <c:h val="0.9214114794352300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[1]Feuil1!$F$26:$F$126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[1]Feuil1!$H$26:$H$126</c:f>
              <c:numCache>
                <c:formatCode>General</c:formatCode>
                <c:ptCount val="101"/>
                <c:pt idx="0">
                  <c:v>0</c:v>
                </c:pt>
                <c:pt idx="1">
                  <c:v>1.8065000000000001E-2</c:v>
                </c:pt>
                <c:pt idx="2">
                  <c:v>3.5864800000000002E-2</c:v>
                </c:pt>
                <c:pt idx="3">
                  <c:v>5.3403899999999997E-2</c:v>
                </c:pt>
                <c:pt idx="4">
                  <c:v>7.0686799999999994E-2</c:v>
                </c:pt>
                <c:pt idx="5">
                  <c:v>8.7717900000000001E-2</c:v>
                </c:pt>
                <c:pt idx="6">
                  <c:v>0.104501</c:v>
                </c:pt>
                <c:pt idx="7">
                  <c:v>0.121042</c:v>
                </c:pt>
                <c:pt idx="8">
                  <c:v>0.13734299999999999</c:v>
                </c:pt>
                <c:pt idx="9">
                  <c:v>0.15340899999999999</c:v>
                </c:pt>
                <c:pt idx="10">
                  <c:v>0.16924500000000001</c:v>
                </c:pt>
                <c:pt idx="11">
                  <c:v>0.18485299999999999</c:v>
                </c:pt>
                <c:pt idx="12">
                  <c:v>0.200239</c:v>
                </c:pt>
                <c:pt idx="13">
                  <c:v>0.21540500000000001</c:v>
                </c:pt>
                <c:pt idx="14">
                  <c:v>0.23035600000000001</c:v>
                </c:pt>
                <c:pt idx="15">
                  <c:v>0.24509500000000001</c:v>
                </c:pt>
                <c:pt idx="16">
                  <c:v>0.259627</c:v>
                </c:pt>
                <c:pt idx="17">
                  <c:v>0.273953</c:v>
                </c:pt>
                <c:pt idx="18">
                  <c:v>0.28807899999999997</c:v>
                </c:pt>
                <c:pt idx="19">
                  <c:v>0.30200700000000003</c:v>
                </c:pt>
                <c:pt idx="20">
                  <c:v>0.31574200000000002</c:v>
                </c:pt>
                <c:pt idx="21">
                  <c:v>0.32928499999999999</c:v>
                </c:pt>
                <c:pt idx="22">
                  <c:v>0.34264099999999997</c:v>
                </c:pt>
                <c:pt idx="23">
                  <c:v>0.35581299999999999</c:v>
                </c:pt>
                <c:pt idx="24">
                  <c:v>0.36880400000000002</c:v>
                </c:pt>
                <c:pt idx="25">
                  <c:v>0.38161699999999998</c:v>
                </c:pt>
                <c:pt idx="26">
                  <c:v>0.39425500000000002</c:v>
                </c:pt>
                <c:pt idx="27">
                  <c:v>0.406721</c:v>
                </c:pt>
                <c:pt idx="28">
                  <c:v>0.41901699999999997</c:v>
                </c:pt>
                <c:pt idx="29">
                  <c:v>0.43114799999999998</c:v>
                </c:pt>
                <c:pt idx="30">
                  <c:v>0.44311600000000001</c:v>
                </c:pt>
                <c:pt idx="31">
                  <c:v>0.45492300000000002</c:v>
                </c:pt>
                <c:pt idx="32">
                  <c:v>0.46657300000000002</c:v>
                </c:pt>
                <c:pt idx="33">
                  <c:v>0.47806700000000002</c:v>
                </c:pt>
                <c:pt idx="34">
                  <c:v>0.48940899999999998</c:v>
                </c:pt>
                <c:pt idx="35">
                  <c:v>0.50060099999999996</c:v>
                </c:pt>
                <c:pt idx="36">
                  <c:v>0.51164600000000005</c:v>
                </c:pt>
                <c:pt idx="37">
                  <c:v>0.52254699999999998</c:v>
                </c:pt>
                <c:pt idx="38">
                  <c:v>0.53330500000000003</c:v>
                </c:pt>
                <c:pt idx="39">
                  <c:v>0.54392300000000005</c:v>
                </c:pt>
                <c:pt idx="40">
                  <c:v>0.55440299999999998</c:v>
                </c:pt>
                <c:pt idx="41">
                  <c:v>0.56474899999999995</c:v>
                </c:pt>
                <c:pt idx="42">
                  <c:v>0.57496100000000006</c:v>
                </c:pt>
                <c:pt idx="43">
                  <c:v>0.58504299999999998</c:v>
                </c:pt>
                <c:pt idx="44">
                  <c:v>0.59499599999999997</c:v>
                </c:pt>
                <c:pt idx="45">
                  <c:v>0.604823</c:v>
                </c:pt>
                <c:pt idx="46">
                  <c:v>0.61452499999999999</c:v>
                </c:pt>
                <c:pt idx="47">
                  <c:v>0.62410600000000005</c:v>
                </c:pt>
                <c:pt idx="48">
                  <c:v>0.63356599999999996</c:v>
                </c:pt>
                <c:pt idx="49">
                  <c:v>0.64290899999999995</c:v>
                </c:pt>
                <c:pt idx="50">
                  <c:v>0.65213500000000002</c:v>
                </c:pt>
                <c:pt idx="51">
                  <c:v>0.66124700000000003</c:v>
                </c:pt>
                <c:pt idx="52">
                  <c:v>0.67024600000000001</c:v>
                </c:pt>
                <c:pt idx="53">
                  <c:v>0.67913599999999996</c:v>
                </c:pt>
                <c:pt idx="54">
                  <c:v>0.68791599999999997</c:v>
                </c:pt>
                <c:pt idx="55">
                  <c:v>0.69659000000000004</c:v>
                </c:pt>
                <c:pt idx="56">
                  <c:v>0.70515899999999998</c:v>
                </c:pt>
                <c:pt idx="57">
                  <c:v>0.71362400000000004</c:v>
                </c:pt>
                <c:pt idx="58">
                  <c:v>0.72198799999999996</c:v>
                </c:pt>
                <c:pt idx="59">
                  <c:v>0.73025200000000001</c:v>
                </c:pt>
                <c:pt idx="60">
                  <c:v>0.73841699999999999</c:v>
                </c:pt>
                <c:pt idx="61">
                  <c:v>0.74648599999999998</c:v>
                </c:pt>
                <c:pt idx="62">
                  <c:v>0.75446000000000002</c:v>
                </c:pt>
                <c:pt idx="63">
                  <c:v>0.76234000000000002</c:v>
                </c:pt>
                <c:pt idx="64">
                  <c:v>0.77012800000000003</c:v>
                </c:pt>
                <c:pt idx="65">
                  <c:v>0.77782499999999999</c:v>
                </c:pt>
                <c:pt idx="66">
                  <c:v>0.78543300000000005</c:v>
                </c:pt>
                <c:pt idx="67">
                  <c:v>0.79295400000000005</c:v>
                </c:pt>
                <c:pt idx="68">
                  <c:v>0.80038799999999999</c:v>
                </c:pt>
                <c:pt idx="69">
                  <c:v>0.80773700000000004</c:v>
                </c:pt>
                <c:pt idx="70">
                  <c:v>0.81500300000000003</c:v>
                </c:pt>
                <c:pt idx="71">
                  <c:v>0.822187</c:v>
                </c:pt>
                <c:pt idx="72">
                  <c:v>0.82928999999999997</c:v>
                </c:pt>
                <c:pt idx="73">
                  <c:v>0.83631299999999997</c:v>
                </c:pt>
                <c:pt idx="74">
                  <c:v>0.84325799999999995</c:v>
                </c:pt>
                <c:pt idx="75">
                  <c:v>0.85012600000000005</c:v>
                </c:pt>
                <c:pt idx="76">
                  <c:v>0.85691799999999996</c:v>
                </c:pt>
                <c:pt idx="77">
                  <c:v>0.86363500000000004</c:v>
                </c:pt>
                <c:pt idx="78">
                  <c:v>0.87027900000000002</c:v>
                </c:pt>
                <c:pt idx="79">
                  <c:v>0.87685100000000005</c:v>
                </c:pt>
                <c:pt idx="80">
                  <c:v>0.883351</c:v>
                </c:pt>
                <c:pt idx="81">
                  <c:v>0.88978199999999996</c:v>
                </c:pt>
                <c:pt idx="82">
                  <c:v>0.89614300000000002</c:v>
                </c:pt>
                <c:pt idx="83">
                  <c:v>0.90243700000000004</c:v>
                </c:pt>
                <c:pt idx="84">
                  <c:v>0.90866400000000003</c:v>
                </c:pt>
                <c:pt idx="85">
                  <c:v>0.914825</c:v>
                </c:pt>
                <c:pt idx="86">
                  <c:v>0.92092099999999999</c:v>
                </c:pt>
                <c:pt idx="87">
                  <c:v>0.92695300000000003</c:v>
                </c:pt>
                <c:pt idx="88">
                  <c:v>0.93292299999999995</c:v>
                </c:pt>
                <c:pt idx="89">
                  <c:v>0.93883099999999997</c:v>
                </c:pt>
                <c:pt idx="90">
                  <c:v>0.94467800000000002</c:v>
                </c:pt>
                <c:pt idx="91">
                  <c:v>0.950465</c:v>
                </c:pt>
                <c:pt idx="92">
                  <c:v>0.95619299999999996</c:v>
                </c:pt>
                <c:pt idx="93">
                  <c:v>0.96186300000000002</c:v>
                </c:pt>
                <c:pt idx="94">
                  <c:v>0.967476</c:v>
                </c:pt>
                <c:pt idx="95">
                  <c:v>0.97303300000000004</c:v>
                </c:pt>
                <c:pt idx="96">
                  <c:v>0.97853400000000001</c:v>
                </c:pt>
                <c:pt idx="97">
                  <c:v>0.98397999999999997</c:v>
                </c:pt>
                <c:pt idx="98">
                  <c:v>0.98937299999999995</c:v>
                </c:pt>
                <c:pt idx="99">
                  <c:v>0.99471299999999996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0-4A82-B768-5FDB92E454DB}"/>
            </c:ext>
          </c:extLst>
        </c:ser>
        <c:ser>
          <c:idx val="2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[1]Feuil1!$J$26:$J$27</c:f>
              <c:numCache>
                <c:formatCode>General</c:formatCode>
                <c:ptCount val="2"/>
                <c:pt idx="0">
                  <c:v>4.4823145000000002E-2</c:v>
                </c:pt>
                <c:pt idx="1">
                  <c:v>1.4943144999999998E-2</c:v>
                </c:pt>
              </c:numCache>
            </c:numRef>
          </c:xVal>
          <c:yVal>
            <c:numRef>
              <c:f>[1]Feuil1!$I$26:$I$27</c:f>
              <c:numCache>
                <c:formatCode>General</c:formatCode>
                <c:ptCount val="2"/>
                <c:pt idx="0">
                  <c:v>4.4824999999999997E-2</c:v>
                </c:pt>
                <c:pt idx="1">
                  <c:v>0.24482500000000001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10-4A82-B768-5FDB92E45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5971871"/>
        <c:axId val="825973119"/>
      </c:scatterChart>
      <c:valAx>
        <c:axId val="825971871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400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5973119"/>
        <c:crosses val="autoZero"/>
        <c:crossBetween val="midCat"/>
        <c:majorUnit val="0.2"/>
      </c:valAx>
      <c:valAx>
        <c:axId val="825973119"/>
        <c:scaling>
          <c:orientation val="minMax"/>
          <c:max val="1.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800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5971871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361950</xdr:colOff>
      <xdr:row>31</xdr:row>
      <xdr:rowOff>0</xdr:rowOff>
    </xdr:from>
    <xdr:ext cx="38100" cy="742950"/>
    <xdr:grpSp>
      <xdr:nvGrpSpPr>
        <xdr:cNvPr id="2" name="Shape 2">
          <a:extLst>
            <a:ext uri="{FF2B5EF4-FFF2-40B4-BE49-F238E27FC236}">
              <a16:creationId xmlns:a16="http://schemas.microsoft.com/office/drawing/2014/main" id="{C6116245-1D27-4E60-8949-77E062C8A260}"/>
            </a:ext>
          </a:extLst>
        </xdr:cNvPr>
        <xdr:cNvGrpSpPr/>
      </xdr:nvGrpSpPr>
      <xdr:grpSpPr>
        <a:xfrm>
          <a:off x="1083129" y="5946321"/>
          <a:ext cx="38100" cy="742950"/>
          <a:chOff x="5326950" y="3408525"/>
          <a:chExt cx="38100" cy="74295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AFA33690-2469-4131-ADC7-1687DA2B6A75}"/>
              </a:ext>
            </a:extLst>
          </xdr:cNvPr>
          <xdr:cNvGrpSpPr/>
        </xdr:nvGrpSpPr>
        <xdr:grpSpPr>
          <a:xfrm>
            <a:off x="5326950" y="3408525"/>
            <a:ext cx="38100" cy="742950"/>
            <a:chOff x="5326950" y="3408525"/>
            <a:chExt cx="38100" cy="7429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C1760EE2-B08A-47FA-8AC3-EA076E7E262E}"/>
                </a:ext>
              </a:extLst>
            </xdr:cNvPr>
            <xdr:cNvSpPr/>
          </xdr:nvSpPr>
          <xdr:spPr>
            <a:xfrm>
              <a:off x="5326950" y="3408525"/>
              <a:ext cx="38100" cy="742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1AB72220-CAFA-4ADB-ACCD-19A10916A873}"/>
                </a:ext>
              </a:extLst>
            </xdr:cNvPr>
            <xdr:cNvGrpSpPr/>
          </xdr:nvGrpSpPr>
          <xdr:grpSpPr>
            <a:xfrm>
              <a:off x="5326950" y="3408525"/>
              <a:ext cx="38100" cy="742950"/>
              <a:chOff x="5326950" y="3408525"/>
              <a:chExt cx="38100" cy="74295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E04132B6-CAAE-4E2C-9B7C-89F6D6846171}"/>
                  </a:ext>
                </a:extLst>
              </xdr:cNvPr>
              <xdr:cNvSpPr/>
            </xdr:nvSpPr>
            <xdr:spPr>
              <a:xfrm>
                <a:off x="5326950" y="3408525"/>
                <a:ext cx="38100" cy="742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24D456C2-8733-4DF7-8AC7-E84DC0CA202D}"/>
                  </a:ext>
                </a:extLst>
              </xdr:cNvPr>
              <xdr:cNvGrpSpPr/>
            </xdr:nvGrpSpPr>
            <xdr:grpSpPr>
              <a:xfrm>
                <a:off x="5326950" y="3408525"/>
                <a:ext cx="38100" cy="742950"/>
                <a:chOff x="5336475" y="3408525"/>
                <a:chExt cx="19050" cy="742950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2A6AB20-9C95-4DDE-A4F7-1C842A54A754}"/>
                    </a:ext>
                  </a:extLst>
                </xdr:cNvPr>
                <xdr:cNvSpPr/>
              </xdr:nvSpPr>
              <xdr:spPr>
                <a:xfrm>
                  <a:off x="5336475" y="3408525"/>
                  <a:ext cx="19050" cy="742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" name="Shape 9">
                  <a:extLst>
                    <a:ext uri="{FF2B5EF4-FFF2-40B4-BE49-F238E27FC236}">
                      <a16:creationId xmlns:a16="http://schemas.microsoft.com/office/drawing/2014/main" id="{A7408405-186F-4F3A-A2CB-F34FFD364140}"/>
                    </a:ext>
                  </a:extLst>
                </xdr:cNvPr>
                <xdr:cNvCxnSpPr/>
              </xdr:nvCxnSpPr>
              <xdr:spPr>
                <a:xfrm>
                  <a:off x="5336475" y="3408525"/>
                  <a:ext cx="19050" cy="74295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dot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400050</xdr:colOff>
      <xdr:row>26</xdr:row>
      <xdr:rowOff>133350</xdr:rowOff>
    </xdr:from>
    <xdr:ext cx="2171700" cy="17335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B6E20749-F2DE-4E4B-909D-694854FABB9B}"/>
            </a:ext>
          </a:extLst>
        </xdr:cNvPr>
        <xdr:cNvSpPr/>
      </xdr:nvSpPr>
      <xdr:spPr>
        <a:xfrm>
          <a:off x="4686300" y="5143500"/>
          <a:ext cx="2171700" cy="173355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0"/>
          <a:headEnd type="none" w="sm" len="sm"/>
          <a:tailEnd type="none" w="sm" len="sm"/>
        </a:ln>
      </xdr:spPr>
      <xdr:txBody>
        <a:bodyPr spcFirstLastPara="1" wrap="square" lIns="27425" tIns="18275" rIns="27425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REACTEUR</a:t>
          </a:r>
          <a:endParaRPr sz="1100"/>
        </a:p>
      </xdr:txBody>
    </xdr:sp>
    <xdr:clientData fLocksWithSheet="0"/>
  </xdr:oneCellAnchor>
  <xdr:oneCellAnchor>
    <xdr:from>
      <xdr:col>9</xdr:col>
      <xdr:colOff>390525</xdr:colOff>
      <xdr:row>30</xdr:row>
      <xdr:rowOff>161925</xdr:rowOff>
    </xdr:from>
    <xdr:ext cx="1019175" cy="57150"/>
    <xdr:grpSp>
      <xdr:nvGrpSpPr>
        <xdr:cNvPr id="11" name="Shape 2">
          <a:extLst>
            <a:ext uri="{FF2B5EF4-FFF2-40B4-BE49-F238E27FC236}">
              <a16:creationId xmlns:a16="http://schemas.microsoft.com/office/drawing/2014/main" id="{72C4BD1B-BE4D-4868-8A88-C9B8AC082C5D}"/>
            </a:ext>
          </a:extLst>
        </xdr:cNvPr>
        <xdr:cNvGrpSpPr/>
      </xdr:nvGrpSpPr>
      <xdr:grpSpPr>
        <a:xfrm>
          <a:off x="7221311" y="5904139"/>
          <a:ext cx="1019175" cy="57150"/>
          <a:chOff x="4836413" y="3751425"/>
          <a:chExt cx="1019175" cy="57150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92F245E4-02B1-4B51-A8C4-17CF48353579}"/>
              </a:ext>
            </a:extLst>
          </xdr:cNvPr>
          <xdr:cNvGrpSpPr/>
        </xdr:nvGrpSpPr>
        <xdr:grpSpPr>
          <a:xfrm>
            <a:off x="4836413" y="3751425"/>
            <a:ext cx="1019175" cy="57150"/>
            <a:chOff x="4836413" y="3751425"/>
            <a:chExt cx="1019175" cy="57150"/>
          </a:xfrm>
        </xdr:grpSpPr>
        <xdr:sp macro="" textlink="">
          <xdr:nvSpPr>
            <xdr:cNvPr id="13" name="Shape 4">
              <a:extLst>
                <a:ext uri="{FF2B5EF4-FFF2-40B4-BE49-F238E27FC236}">
                  <a16:creationId xmlns:a16="http://schemas.microsoft.com/office/drawing/2014/main" id="{7A38D966-DB85-48C6-93B5-11C9A0F2DD79}"/>
                </a:ext>
              </a:extLst>
            </xdr:cNvPr>
            <xdr:cNvSpPr/>
          </xdr:nvSpPr>
          <xdr:spPr>
            <a:xfrm>
              <a:off x="4836413" y="3751425"/>
              <a:ext cx="1019175" cy="571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5D49D4BF-03C1-4AD6-BC64-8F73F36A9760}"/>
                </a:ext>
              </a:extLst>
            </xdr:cNvPr>
            <xdr:cNvGrpSpPr/>
          </xdr:nvGrpSpPr>
          <xdr:grpSpPr>
            <a:xfrm>
              <a:off x="4836413" y="3751425"/>
              <a:ext cx="1019175" cy="57150"/>
              <a:chOff x="4833996" y="3750999"/>
              <a:chExt cx="1024009" cy="58003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354FFD9A-CC34-49D9-9E47-EAA9FCDA81B7}"/>
                  </a:ext>
                </a:extLst>
              </xdr:cNvPr>
              <xdr:cNvSpPr/>
            </xdr:nvSpPr>
            <xdr:spPr>
              <a:xfrm>
                <a:off x="4833996" y="3750999"/>
                <a:ext cx="1024000" cy="58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" name="Shape 14">
                <a:extLst>
                  <a:ext uri="{FF2B5EF4-FFF2-40B4-BE49-F238E27FC236}">
                    <a16:creationId xmlns:a16="http://schemas.microsoft.com/office/drawing/2014/main" id="{FEAD7474-F4F1-4770-841D-B7A868C42609}"/>
                  </a:ext>
                </a:extLst>
              </xdr:cNvPr>
              <xdr:cNvGrpSpPr/>
            </xdr:nvGrpSpPr>
            <xdr:grpSpPr>
              <a:xfrm>
                <a:off x="4833996" y="3750999"/>
                <a:ext cx="1024009" cy="58003"/>
                <a:chOff x="3093338" y="3746663"/>
                <a:chExt cx="4505325" cy="66675"/>
              </a:xfrm>
            </xdr:grpSpPr>
            <xdr:sp macro="" textlink="">
              <xdr:nvSpPr>
                <xdr:cNvPr id="17" name="Shape 15">
                  <a:extLst>
                    <a:ext uri="{FF2B5EF4-FFF2-40B4-BE49-F238E27FC236}">
                      <a16:creationId xmlns:a16="http://schemas.microsoft.com/office/drawing/2014/main" id="{E95CD8EC-25D8-43D2-AF64-46ECA53F9D27}"/>
                    </a:ext>
                  </a:extLst>
                </xdr:cNvPr>
                <xdr:cNvSpPr/>
              </xdr:nvSpPr>
              <xdr:spPr>
                <a:xfrm>
                  <a:off x="3093338" y="3746663"/>
                  <a:ext cx="4505325" cy="666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" name="Shape 16">
                  <a:extLst>
                    <a:ext uri="{FF2B5EF4-FFF2-40B4-BE49-F238E27FC236}">
                      <a16:creationId xmlns:a16="http://schemas.microsoft.com/office/drawing/2014/main" id="{95BD05B0-CAD5-45E2-9F82-92D08EA90AF9}"/>
                    </a:ext>
                  </a:extLst>
                </xdr:cNvPr>
                <xdr:cNvCxnSpPr/>
              </xdr:nvCxnSpPr>
              <xdr:spPr>
                <a:xfrm rot="10800000" flipH="1">
                  <a:off x="3093338" y="3746663"/>
                  <a:ext cx="4505325" cy="6667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589190</xdr:colOff>
      <xdr:row>19</xdr:row>
      <xdr:rowOff>40821</xdr:rowOff>
    </xdr:from>
    <xdr:ext cx="3038475" cy="2847975"/>
    <xdr:sp macro="" textlink="">
      <xdr:nvSpPr>
        <xdr:cNvPr id="19" name="Shape 17">
          <a:extLst>
            <a:ext uri="{FF2B5EF4-FFF2-40B4-BE49-F238E27FC236}">
              <a16:creationId xmlns:a16="http://schemas.microsoft.com/office/drawing/2014/main" id="{32139E39-078F-4A0D-AE72-629E93372B03}"/>
            </a:ext>
          </a:extLst>
        </xdr:cNvPr>
        <xdr:cNvSpPr/>
      </xdr:nvSpPr>
      <xdr:spPr>
        <a:xfrm>
          <a:off x="11883119" y="3551464"/>
          <a:ext cx="3038475" cy="2847975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0"/>
          <a:headEnd type="none" w="sm" len="sm"/>
          <a:tailEnd type="none" w="sm" len="sm"/>
        </a:ln>
      </xdr:spPr>
      <xdr:txBody>
        <a:bodyPr spcFirstLastPara="1" wrap="square" lIns="27425" tIns="18275" rIns="27425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SEPARATEUR HCl</a:t>
          </a:r>
          <a:endParaRPr sz="1100"/>
        </a:p>
      </xdr:txBody>
    </xdr:sp>
    <xdr:clientData fLocksWithSheet="0"/>
  </xdr:oneCellAnchor>
  <xdr:oneCellAnchor>
    <xdr:from>
      <xdr:col>0</xdr:col>
      <xdr:colOff>123825</xdr:colOff>
      <xdr:row>30</xdr:row>
      <xdr:rowOff>190500</xdr:rowOff>
    </xdr:from>
    <xdr:ext cx="4572000" cy="38100"/>
    <xdr:grpSp>
      <xdr:nvGrpSpPr>
        <xdr:cNvPr id="20" name="Shape 2">
          <a:extLst>
            <a:ext uri="{FF2B5EF4-FFF2-40B4-BE49-F238E27FC236}">
              <a16:creationId xmlns:a16="http://schemas.microsoft.com/office/drawing/2014/main" id="{348EC0F7-29A6-4547-8609-F379FCA1F185}"/>
            </a:ext>
          </a:extLst>
        </xdr:cNvPr>
        <xdr:cNvGrpSpPr/>
      </xdr:nvGrpSpPr>
      <xdr:grpSpPr>
        <a:xfrm>
          <a:off x="123825" y="5932714"/>
          <a:ext cx="4572000" cy="38100"/>
          <a:chOff x="3060000" y="3760950"/>
          <a:chExt cx="4572000" cy="38100"/>
        </a:xfrm>
      </xdr:grpSpPr>
      <xdr:grpSp>
        <xdr:nvGrpSpPr>
          <xdr:cNvPr id="21" name="Shape 18">
            <a:extLst>
              <a:ext uri="{FF2B5EF4-FFF2-40B4-BE49-F238E27FC236}">
                <a16:creationId xmlns:a16="http://schemas.microsoft.com/office/drawing/2014/main" id="{D69F4C86-07EB-4C30-A58B-86DBE60D4132}"/>
              </a:ext>
            </a:extLst>
          </xdr:cNvPr>
          <xdr:cNvGrpSpPr/>
        </xdr:nvGrpSpPr>
        <xdr:grpSpPr>
          <a:xfrm>
            <a:off x="3060000" y="3760950"/>
            <a:ext cx="4572000" cy="38100"/>
            <a:chOff x="3060000" y="3760950"/>
            <a:chExt cx="4572000" cy="38100"/>
          </a:xfrm>
        </xdr:grpSpPr>
        <xdr:sp macro="" textlink="">
          <xdr:nvSpPr>
            <xdr:cNvPr id="22" name="Shape 4">
              <a:extLst>
                <a:ext uri="{FF2B5EF4-FFF2-40B4-BE49-F238E27FC236}">
                  <a16:creationId xmlns:a16="http://schemas.microsoft.com/office/drawing/2014/main" id="{4EE63C30-F04A-4D15-B89F-245368686F4F}"/>
                </a:ext>
              </a:extLst>
            </xdr:cNvPr>
            <xdr:cNvSpPr/>
          </xdr:nvSpPr>
          <xdr:spPr>
            <a:xfrm>
              <a:off x="3060000" y="3760950"/>
              <a:ext cx="4572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" name="Shape 19">
              <a:extLst>
                <a:ext uri="{FF2B5EF4-FFF2-40B4-BE49-F238E27FC236}">
                  <a16:creationId xmlns:a16="http://schemas.microsoft.com/office/drawing/2014/main" id="{9861E0A5-7527-425A-8337-F214DD1EB630}"/>
                </a:ext>
              </a:extLst>
            </xdr:cNvPr>
            <xdr:cNvGrpSpPr/>
          </xdr:nvGrpSpPr>
          <xdr:grpSpPr>
            <a:xfrm>
              <a:off x="3060000" y="3760950"/>
              <a:ext cx="4572000" cy="38100"/>
              <a:chOff x="3060000" y="3760950"/>
              <a:chExt cx="4572000" cy="38100"/>
            </a:xfrm>
          </xdr:grpSpPr>
          <xdr:sp macro="" textlink="">
            <xdr:nvSpPr>
              <xdr:cNvPr id="24" name="Shape 20">
                <a:extLst>
                  <a:ext uri="{FF2B5EF4-FFF2-40B4-BE49-F238E27FC236}">
                    <a16:creationId xmlns:a16="http://schemas.microsoft.com/office/drawing/2014/main" id="{FCF11972-77AA-45D9-BD1F-756E5D70D9EF}"/>
                  </a:ext>
                </a:extLst>
              </xdr:cNvPr>
              <xdr:cNvSpPr/>
            </xdr:nvSpPr>
            <xdr:spPr>
              <a:xfrm>
                <a:off x="3060000" y="3760950"/>
                <a:ext cx="4572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" name="Shape 21">
                <a:extLst>
                  <a:ext uri="{FF2B5EF4-FFF2-40B4-BE49-F238E27FC236}">
                    <a16:creationId xmlns:a16="http://schemas.microsoft.com/office/drawing/2014/main" id="{B7DCE6D5-80CD-4198-8C76-025C6CECBCD8}"/>
                  </a:ext>
                </a:extLst>
              </xdr:cNvPr>
              <xdr:cNvGrpSpPr/>
            </xdr:nvGrpSpPr>
            <xdr:grpSpPr>
              <a:xfrm>
                <a:off x="3060000" y="3760950"/>
                <a:ext cx="4572000" cy="38100"/>
                <a:chOff x="3060000" y="3770475"/>
                <a:chExt cx="4572000" cy="19050"/>
              </a:xfrm>
            </xdr:grpSpPr>
            <xdr:sp macro="" textlink="">
              <xdr:nvSpPr>
                <xdr:cNvPr id="26" name="Shape 22">
                  <a:extLst>
                    <a:ext uri="{FF2B5EF4-FFF2-40B4-BE49-F238E27FC236}">
                      <a16:creationId xmlns:a16="http://schemas.microsoft.com/office/drawing/2014/main" id="{58EE6946-665A-4BF4-8C52-9E6104A9C207}"/>
                    </a:ext>
                  </a:extLst>
                </xdr:cNvPr>
                <xdr:cNvSpPr/>
              </xdr:nvSpPr>
              <xdr:spPr>
                <a:xfrm>
                  <a:off x="3060000" y="3770475"/>
                  <a:ext cx="4572000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" name="Shape 23">
                  <a:extLst>
                    <a:ext uri="{FF2B5EF4-FFF2-40B4-BE49-F238E27FC236}">
                      <a16:creationId xmlns:a16="http://schemas.microsoft.com/office/drawing/2014/main" id="{30470C42-1C82-43BB-B73D-0137D432FD6C}"/>
                    </a:ext>
                  </a:extLst>
                </xdr:cNvPr>
                <xdr:cNvCxnSpPr/>
              </xdr:nvCxnSpPr>
              <xdr:spPr>
                <a:xfrm>
                  <a:off x="3060000" y="3770475"/>
                  <a:ext cx="4572000" cy="190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228600</xdr:colOff>
      <xdr:row>33</xdr:row>
      <xdr:rowOff>57150</xdr:rowOff>
    </xdr:from>
    <xdr:ext cx="66675" cy="3305175"/>
    <xdr:grpSp>
      <xdr:nvGrpSpPr>
        <xdr:cNvPr id="28" name="Shape 2">
          <a:extLst>
            <a:ext uri="{FF2B5EF4-FFF2-40B4-BE49-F238E27FC236}">
              <a16:creationId xmlns:a16="http://schemas.microsoft.com/office/drawing/2014/main" id="{2FCA3BBB-1ED2-44FD-AB11-DB7EC57FDA1B}"/>
            </a:ext>
          </a:extLst>
        </xdr:cNvPr>
        <xdr:cNvGrpSpPr/>
      </xdr:nvGrpSpPr>
      <xdr:grpSpPr>
        <a:xfrm>
          <a:off x="12964886" y="6411686"/>
          <a:ext cx="66675" cy="3305175"/>
          <a:chOff x="5312663" y="2127413"/>
          <a:chExt cx="66675" cy="3305175"/>
        </a:xfrm>
      </xdr:grpSpPr>
      <xdr:grpSp>
        <xdr:nvGrpSpPr>
          <xdr:cNvPr id="29" name="Shape 24">
            <a:extLst>
              <a:ext uri="{FF2B5EF4-FFF2-40B4-BE49-F238E27FC236}">
                <a16:creationId xmlns:a16="http://schemas.microsoft.com/office/drawing/2014/main" id="{83A0FB21-BB1F-424E-8745-7087F2A41FD2}"/>
              </a:ext>
            </a:extLst>
          </xdr:cNvPr>
          <xdr:cNvGrpSpPr/>
        </xdr:nvGrpSpPr>
        <xdr:grpSpPr>
          <a:xfrm>
            <a:off x="5312663" y="2127413"/>
            <a:ext cx="66675" cy="3305175"/>
            <a:chOff x="5312663" y="2127413"/>
            <a:chExt cx="66675" cy="3305175"/>
          </a:xfrm>
        </xdr:grpSpPr>
        <xdr:sp macro="" textlink="">
          <xdr:nvSpPr>
            <xdr:cNvPr id="30" name="Shape 4">
              <a:extLst>
                <a:ext uri="{FF2B5EF4-FFF2-40B4-BE49-F238E27FC236}">
                  <a16:creationId xmlns:a16="http://schemas.microsoft.com/office/drawing/2014/main" id="{B22DB042-977D-4417-8F41-FCD2D4F90316}"/>
                </a:ext>
              </a:extLst>
            </xdr:cNvPr>
            <xdr:cNvSpPr/>
          </xdr:nvSpPr>
          <xdr:spPr>
            <a:xfrm>
              <a:off x="5312663" y="2127413"/>
              <a:ext cx="66675" cy="33051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" name="Shape 25">
              <a:extLst>
                <a:ext uri="{FF2B5EF4-FFF2-40B4-BE49-F238E27FC236}">
                  <a16:creationId xmlns:a16="http://schemas.microsoft.com/office/drawing/2014/main" id="{89D11D0C-D6B7-4923-844E-CA807C4365D0}"/>
                </a:ext>
              </a:extLst>
            </xdr:cNvPr>
            <xdr:cNvGrpSpPr/>
          </xdr:nvGrpSpPr>
          <xdr:grpSpPr>
            <a:xfrm>
              <a:off x="5312663" y="2127413"/>
              <a:ext cx="66675" cy="3305175"/>
              <a:chOff x="5312663" y="2127413"/>
              <a:chExt cx="66675" cy="3305175"/>
            </a:xfrm>
          </xdr:grpSpPr>
          <xdr:sp macro="" textlink="">
            <xdr:nvSpPr>
              <xdr:cNvPr id="32" name="Shape 26">
                <a:extLst>
                  <a:ext uri="{FF2B5EF4-FFF2-40B4-BE49-F238E27FC236}">
                    <a16:creationId xmlns:a16="http://schemas.microsoft.com/office/drawing/2014/main" id="{FD5D210D-544B-4F46-929C-26A69199E606}"/>
                  </a:ext>
                </a:extLst>
              </xdr:cNvPr>
              <xdr:cNvSpPr/>
            </xdr:nvSpPr>
            <xdr:spPr>
              <a:xfrm>
                <a:off x="5312663" y="2127413"/>
                <a:ext cx="66675" cy="33051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27">
                <a:extLst>
                  <a:ext uri="{FF2B5EF4-FFF2-40B4-BE49-F238E27FC236}">
                    <a16:creationId xmlns:a16="http://schemas.microsoft.com/office/drawing/2014/main" id="{CA15BDB5-6ECE-40C9-B983-167D5EB42473}"/>
                  </a:ext>
                </a:extLst>
              </xdr:cNvPr>
              <xdr:cNvGrpSpPr/>
            </xdr:nvGrpSpPr>
            <xdr:grpSpPr>
              <a:xfrm>
                <a:off x="5312663" y="2127413"/>
                <a:ext cx="66675" cy="3305175"/>
                <a:chOff x="5317425" y="2127413"/>
                <a:chExt cx="57150" cy="3305175"/>
              </a:xfrm>
            </xdr:grpSpPr>
            <xdr:sp macro="" textlink="">
              <xdr:nvSpPr>
                <xdr:cNvPr id="34" name="Shape 28">
                  <a:extLst>
                    <a:ext uri="{FF2B5EF4-FFF2-40B4-BE49-F238E27FC236}">
                      <a16:creationId xmlns:a16="http://schemas.microsoft.com/office/drawing/2014/main" id="{B997B848-19B0-433F-8B41-8C1205CC1ECA}"/>
                    </a:ext>
                  </a:extLst>
                </xdr:cNvPr>
                <xdr:cNvSpPr/>
              </xdr:nvSpPr>
              <xdr:spPr>
                <a:xfrm>
                  <a:off x="5317425" y="2127413"/>
                  <a:ext cx="57150" cy="33051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" name="Shape 29">
                  <a:extLst>
                    <a:ext uri="{FF2B5EF4-FFF2-40B4-BE49-F238E27FC236}">
                      <a16:creationId xmlns:a16="http://schemas.microsoft.com/office/drawing/2014/main" id="{94E83BA5-3C5C-420E-953A-2E8E2F71B7CB}"/>
                    </a:ext>
                  </a:extLst>
                </xdr:cNvPr>
                <xdr:cNvCxnSpPr/>
              </xdr:nvCxnSpPr>
              <xdr:spPr>
                <a:xfrm rot="10800000">
                  <a:off x="5317425" y="2127413"/>
                  <a:ext cx="57150" cy="330517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triangle" w="med" len="med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104775</xdr:colOff>
      <xdr:row>21</xdr:row>
      <xdr:rowOff>38100</xdr:rowOff>
    </xdr:from>
    <xdr:ext cx="2085975" cy="76200"/>
    <xdr:grpSp>
      <xdr:nvGrpSpPr>
        <xdr:cNvPr id="36" name="Shape 2">
          <a:extLst>
            <a:ext uri="{FF2B5EF4-FFF2-40B4-BE49-F238E27FC236}">
              <a16:creationId xmlns:a16="http://schemas.microsoft.com/office/drawing/2014/main" id="{17120CFC-FF20-4B56-9D96-A018B529F384}"/>
            </a:ext>
          </a:extLst>
        </xdr:cNvPr>
        <xdr:cNvGrpSpPr/>
      </xdr:nvGrpSpPr>
      <xdr:grpSpPr>
        <a:xfrm>
          <a:off x="15004596" y="3943350"/>
          <a:ext cx="2085975" cy="76200"/>
          <a:chOff x="4303013" y="3741900"/>
          <a:chExt cx="2085975" cy="76200"/>
        </a:xfrm>
      </xdr:grpSpPr>
      <xdr:grpSp>
        <xdr:nvGrpSpPr>
          <xdr:cNvPr id="37" name="Shape 30">
            <a:extLst>
              <a:ext uri="{FF2B5EF4-FFF2-40B4-BE49-F238E27FC236}">
                <a16:creationId xmlns:a16="http://schemas.microsoft.com/office/drawing/2014/main" id="{97208E33-6948-450D-8EC0-5A379B648F07}"/>
              </a:ext>
            </a:extLst>
          </xdr:cNvPr>
          <xdr:cNvGrpSpPr/>
        </xdr:nvGrpSpPr>
        <xdr:grpSpPr>
          <a:xfrm>
            <a:off x="4303013" y="3741900"/>
            <a:ext cx="2085975" cy="76200"/>
            <a:chOff x="4303013" y="3741900"/>
            <a:chExt cx="2085975" cy="76200"/>
          </a:xfrm>
        </xdr:grpSpPr>
        <xdr:sp macro="" textlink="">
          <xdr:nvSpPr>
            <xdr:cNvPr id="38" name="Shape 4">
              <a:extLst>
                <a:ext uri="{FF2B5EF4-FFF2-40B4-BE49-F238E27FC236}">
                  <a16:creationId xmlns:a16="http://schemas.microsoft.com/office/drawing/2014/main" id="{218E8F12-28AE-4051-9BDE-3DA286669429}"/>
                </a:ext>
              </a:extLst>
            </xdr:cNvPr>
            <xdr:cNvSpPr/>
          </xdr:nvSpPr>
          <xdr:spPr>
            <a:xfrm>
              <a:off x="4303013" y="3741900"/>
              <a:ext cx="208597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" name="Shape 31">
              <a:extLst>
                <a:ext uri="{FF2B5EF4-FFF2-40B4-BE49-F238E27FC236}">
                  <a16:creationId xmlns:a16="http://schemas.microsoft.com/office/drawing/2014/main" id="{C0A0E6A6-1891-45A1-9C3A-E3515F05415C}"/>
                </a:ext>
              </a:extLst>
            </xdr:cNvPr>
            <xdr:cNvGrpSpPr/>
          </xdr:nvGrpSpPr>
          <xdr:grpSpPr>
            <a:xfrm>
              <a:off x="4303013" y="3741900"/>
              <a:ext cx="2085975" cy="76200"/>
              <a:chOff x="5326950" y="3413288"/>
              <a:chExt cx="38100" cy="733425"/>
            </a:xfrm>
          </xdr:grpSpPr>
          <xdr:sp macro="" textlink="">
            <xdr:nvSpPr>
              <xdr:cNvPr id="40" name="Shape 32">
                <a:extLst>
                  <a:ext uri="{FF2B5EF4-FFF2-40B4-BE49-F238E27FC236}">
                    <a16:creationId xmlns:a16="http://schemas.microsoft.com/office/drawing/2014/main" id="{E5F4C913-C40F-43FE-8255-4D5E86B933BF}"/>
                  </a:ext>
                </a:extLst>
              </xdr:cNvPr>
              <xdr:cNvSpPr/>
            </xdr:nvSpPr>
            <xdr:spPr>
              <a:xfrm>
                <a:off x="5326950" y="3413288"/>
                <a:ext cx="38100" cy="733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" name="Shape 33">
                <a:extLst>
                  <a:ext uri="{FF2B5EF4-FFF2-40B4-BE49-F238E27FC236}">
                    <a16:creationId xmlns:a16="http://schemas.microsoft.com/office/drawing/2014/main" id="{A1C2E4AD-94C9-4B46-B2DA-EF280F2695CA}"/>
                  </a:ext>
                </a:extLst>
              </xdr:cNvPr>
              <xdr:cNvGrpSpPr/>
            </xdr:nvGrpSpPr>
            <xdr:grpSpPr>
              <a:xfrm>
                <a:off x="5326950" y="3413288"/>
                <a:ext cx="38100" cy="733425"/>
                <a:chOff x="5226937" y="3413288"/>
                <a:chExt cx="238125" cy="733425"/>
              </a:xfrm>
            </xdr:grpSpPr>
            <xdr:sp macro="" textlink="">
              <xdr:nvSpPr>
                <xdr:cNvPr id="42" name="Shape 34">
                  <a:extLst>
                    <a:ext uri="{FF2B5EF4-FFF2-40B4-BE49-F238E27FC236}">
                      <a16:creationId xmlns:a16="http://schemas.microsoft.com/office/drawing/2014/main" id="{3375D300-D30C-46DE-A9C1-671D767223C4}"/>
                    </a:ext>
                  </a:extLst>
                </xdr:cNvPr>
                <xdr:cNvSpPr/>
              </xdr:nvSpPr>
              <xdr:spPr>
                <a:xfrm>
                  <a:off x="5226937" y="3413288"/>
                  <a:ext cx="238125" cy="733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" name="Shape 35">
                  <a:extLst>
                    <a:ext uri="{FF2B5EF4-FFF2-40B4-BE49-F238E27FC236}">
                      <a16:creationId xmlns:a16="http://schemas.microsoft.com/office/drawing/2014/main" id="{E8218743-3AB4-4D3D-88D5-9DF6D77433DD}"/>
                    </a:ext>
                  </a:extLst>
                </xdr:cNvPr>
                <xdr:cNvCxnSpPr/>
              </xdr:nvCxnSpPr>
              <xdr:spPr>
                <a:xfrm flipH="1">
                  <a:off x="5226937" y="3413288"/>
                  <a:ext cx="238125" cy="7334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triangle" w="med" len="med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657225</xdr:colOff>
      <xdr:row>31</xdr:row>
      <xdr:rowOff>9525</xdr:rowOff>
    </xdr:from>
    <xdr:ext cx="66675" cy="15401925"/>
    <xdr:grpSp>
      <xdr:nvGrpSpPr>
        <xdr:cNvPr id="44" name="Shape 2">
          <a:extLst>
            <a:ext uri="{FF2B5EF4-FFF2-40B4-BE49-F238E27FC236}">
              <a16:creationId xmlns:a16="http://schemas.microsoft.com/office/drawing/2014/main" id="{EEDFB53A-AA1A-4290-BB05-D62102D6E56C}"/>
            </a:ext>
          </a:extLst>
        </xdr:cNvPr>
        <xdr:cNvGrpSpPr/>
      </xdr:nvGrpSpPr>
      <xdr:grpSpPr>
        <a:xfrm>
          <a:off x="3541939" y="5955846"/>
          <a:ext cx="66675" cy="15401925"/>
          <a:chOff x="5312663" y="0"/>
          <a:chExt cx="66675" cy="7560000"/>
        </a:xfrm>
      </xdr:grpSpPr>
      <xdr:grpSp>
        <xdr:nvGrpSpPr>
          <xdr:cNvPr id="45" name="Shape 36">
            <a:extLst>
              <a:ext uri="{FF2B5EF4-FFF2-40B4-BE49-F238E27FC236}">
                <a16:creationId xmlns:a16="http://schemas.microsoft.com/office/drawing/2014/main" id="{A16322E8-66B5-42ED-9C3A-3686BDD6580F}"/>
              </a:ext>
            </a:extLst>
          </xdr:cNvPr>
          <xdr:cNvGrpSpPr/>
        </xdr:nvGrpSpPr>
        <xdr:grpSpPr>
          <a:xfrm>
            <a:off x="5312663" y="0"/>
            <a:ext cx="66675" cy="7560000"/>
            <a:chOff x="5312663" y="0"/>
            <a:chExt cx="66675" cy="7560000"/>
          </a:xfrm>
        </xdr:grpSpPr>
        <xdr:sp macro="" textlink="">
          <xdr:nvSpPr>
            <xdr:cNvPr id="46" name="Shape 4">
              <a:extLst>
                <a:ext uri="{FF2B5EF4-FFF2-40B4-BE49-F238E27FC236}">
                  <a16:creationId xmlns:a16="http://schemas.microsoft.com/office/drawing/2014/main" id="{A07ACF51-89D5-4C57-8A81-76E32D414F32}"/>
                </a:ext>
              </a:extLst>
            </xdr:cNvPr>
            <xdr:cNvSpPr/>
          </xdr:nvSpPr>
          <xdr:spPr>
            <a:xfrm>
              <a:off x="5312663" y="0"/>
              <a:ext cx="66675" cy="7560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7">
              <a:extLst>
                <a:ext uri="{FF2B5EF4-FFF2-40B4-BE49-F238E27FC236}">
                  <a16:creationId xmlns:a16="http://schemas.microsoft.com/office/drawing/2014/main" id="{8B475396-7CE7-4382-AFDE-20A443E7AFA4}"/>
                </a:ext>
              </a:extLst>
            </xdr:cNvPr>
            <xdr:cNvGrpSpPr/>
          </xdr:nvGrpSpPr>
          <xdr:grpSpPr>
            <a:xfrm>
              <a:off x="5312663" y="0"/>
              <a:ext cx="66675" cy="7560000"/>
              <a:chOff x="5312663" y="0"/>
              <a:chExt cx="66675" cy="7560000"/>
            </a:xfrm>
          </xdr:grpSpPr>
          <xdr:sp macro="" textlink="">
            <xdr:nvSpPr>
              <xdr:cNvPr id="48" name="Shape 38">
                <a:extLst>
                  <a:ext uri="{FF2B5EF4-FFF2-40B4-BE49-F238E27FC236}">
                    <a16:creationId xmlns:a16="http://schemas.microsoft.com/office/drawing/2014/main" id="{9148310A-1EF8-4715-BFD1-BDBAADB891B0}"/>
                  </a:ext>
                </a:extLst>
              </xdr:cNvPr>
              <xdr:cNvSpPr/>
            </xdr:nvSpPr>
            <xdr:spPr>
              <a:xfrm>
                <a:off x="5312663" y="0"/>
                <a:ext cx="66675" cy="7560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" name="Shape 39">
                <a:extLst>
                  <a:ext uri="{FF2B5EF4-FFF2-40B4-BE49-F238E27FC236}">
                    <a16:creationId xmlns:a16="http://schemas.microsoft.com/office/drawing/2014/main" id="{5F41FCAD-5E83-40CF-ABA5-D8BF79CB7B73}"/>
                  </a:ext>
                </a:extLst>
              </xdr:cNvPr>
              <xdr:cNvGrpSpPr/>
            </xdr:nvGrpSpPr>
            <xdr:grpSpPr>
              <a:xfrm>
                <a:off x="5312663" y="0"/>
                <a:ext cx="66675" cy="7560000"/>
                <a:chOff x="5312663" y="0"/>
                <a:chExt cx="66675" cy="7560000"/>
              </a:xfrm>
            </xdr:grpSpPr>
            <xdr:sp macro="" textlink="">
              <xdr:nvSpPr>
                <xdr:cNvPr id="50" name="Shape 40">
                  <a:extLst>
                    <a:ext uri="{FF2B5EF4-FFF2-40B4-BE49-F238E27FC236}">
                      <a16:creationId xmlns:a16="http://schemas.microsoft.com/office/drawing/2014/main" id="{FF7E30CA-A1FD-4E77-BD23-BB5DAD585D6A}"/>
                    </a:ext>
                  </a:extLst>
                </xdr:cNvPr>
                <xdr:cNvSpPr/>
              </xdr:nvSpPr>
              <xdr:spPr>
                <a:xfrm>
                  <a:off x="5312663" y="0"/>
                  <a:ext cx="66675" cy="7560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" name="Shape 41">
                  <a:extLst>
                    <a:ext uri="{FF2B5EF4-FFF2-40B4-BE49-F238E27FC236}">
                      <a16:creationId xmlns:a16="http://schemas.microsoft.com/office/drawing/2014/main" id="{1D0308E3-9FB0-4BC0-9D7B-807A55F1DC2F}"/>
                    </a:ext>
                  </a:extLst>
                </xdr:cNvPr>
                <xdr:cNvCxnSpPr/>
              </xdr:nvCxnSpPr>
              <xdr:spPr>
                <a:xfrm rot="10800000">
                  <a:off x="5312663" y="0"/>
                  <a:ext cx="66675" cy="75600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333375</xdr:colOff>
      <xdr:row>20</xdr:row>
      <xdr:rowOff>47625</xdr:rowOff>
    </xdr:from>
    <xdr:ext cx="38100" cy="2181225"/>
    <xdr:grpSp>
      <xdr:nvGrpSpPr>
        <xdr:cNvPr id="52" name="Shape 2">
          <a:extLst>
            <a:ext uri="{FF2B5EF4-FFF2-40B4-BE49-F238E27FC236}">
              <a16:creationId xmlns:a16="http://schemas.microsoft.com/office/drawing/2014/main" id="{0EF062C7-5EED-4DAF-BCD3-1ADD44C93639}"/>
            </a:ext>
          </a:extLst>
        </xdr:cNvPr>
        <xdr:cNvGrpSpPr/>
      </xdr:nvGrpSpPr>
      <xdr:grpSpPr>
        <a:xfrm>
          <a:off x="3939268" y="3748768"/>
          <a:ext cx="38100" cy="2181225"/>
          <a:chOff x="5326950" y="2689388"/>
          <a:chExt cx="38100" cy="2181225"/>
        </a:xfrm>
      </xdr:grpSpPr>
      <xdr:grpSp>
        <xdr:nvGrpSpPr>
          <xdr:cNvPr id="53" name="Shape 42">
            <a:extLst>
              <a:ext uri="{FF2B5EF4-FFF2-40B4-BE49-F238E27FC236}">
                <a16:creationId xmlns:a16="http://schemas.microsoft.com/office/drawing/2014/main" id="{1D0A2C1D-F151-4870-9012-9FEB39E9256D}"/>
              </a:ext>
            </a:extLst>
          </xdr:cNvPr>
          <xdr:cNvGrpSpPr/>
        </xdr:nvGrpSpPr>
        <xdr:grpSpPr>
          <a:xfrm>
            <a:off x="5326950" y="2689388"/>
            <a:ext cx="38100" cy="2181225"/>
            <a:chOff x="5326950" y="2689388"/>
            <a:chExt cx="38100" cy="2181225"/>
          </a:xfrm>
        </xdr:grpSpPr>
        <xdr:sp macro="" textlink="">
          <xdr:nvSpPr>
            <xdr:cNvPr id="54" name="Shape 4">
              <a:extLst>
                <a:ext uri="{FF2B5EF4-FFF2-40B4-BE49-F238E27FC236}">
                  <a16:creationId xmlns:a16="http://schemas.microsoft.com/office/drawing/2014/main" id="{95ADC299-7D7B-4692-B702-3E7A930AA900}"/>
                </a:ext>
              </a:extLst>
            </xdr:cNvPr>
            <xdr:cNvSpPr/>
          </xdr:nvSpPr>
          <xdr:spPr>
            <a:xfrm>
              <a:off x="5326950" y="2689388"/>
              <a:ext cx="38100" cy="2181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" name="Shape 43">
              <a:extLst>
                <a:ext uri="{FF2B5EF4-FFF2-40B4-BE49-F238E27FC236}">
                  <a16:creationId xmlns:a16="http://schemas.microsoft.com/office/drawing/2014/main" id="{F95EE88C-D319-4B87-825E-6DCBC6C1921D}"/>
                </a:ext>
              </a:extLst>
            </xdr:cNvPr>
            <xdr:cNvGrpSpPr/>
          </xdr:nvGrpSpPr>
          <xdr:grpSpPr>
            <a:xfrm>
              <a:off x="5326950" y="2689388"/>
              <a:ext cx="38100" cy="2181225"/>
              <a:chOff x="5326950" y="2689388"/>
              <a:chExt cx="38100" cy="2181225"/>
            </a:xfrm>
          </xdr:grpSpPr>
          <xdr:sp macro="" textlink="">
            <xdr:nvSpPr>
              <xdr:cNvPr id="56" name="Shape 44">
                <a:extLst>
                  <a:ext uri="{FF2B5EF4-FFF2-40B4-BE49-F238E27FC236}">
                    <a16:creationId xmlns:a16="http://schemas.microsoft.com/office/drawing/2014/main" id="{89F99855-3D76-4E93-9C23-65BF8BF115D1}"/>
                  </a:ext>
                </a:extLst>
              </xdr:cNvPr>
              <xdr:cNvSpPr/>
            </xdr:nvSpPr>
            <xdr:spPr>
              <a:xfrm>
                <a:off x="5326950" y="2689388"/>
                <a:ext cx="38100" cy="2181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" name="Shape 45">
                <a:extLst>
                  <a:ext uri="{FF2B5EF4-FFF2-40B4-BE49-F238E27FC236}">
                    <a16:creationId xmlns:a16="http://schemas.microsoft.com/office/drawing/2014/main" id="{D44F92FE-8135-41F8-9DC5-6BC2B3FCED79}"/>
                  </a:ext>
                </a:extLst>
              </xdr:cNvPr>
              <xdr:cNvGrpSpPr/>
            </xdr:nvGrpSpPr>
            <xdr:grpSpPr>
              <a:xfrm>
                <a:off x="5326950" y="2689388"/>
                <a:ext cx="38100" cy="2181225"/>
                <a:chOff x="5341238" y="2689388"/>
                <a:chExt cx="9525" cy="2181225"/>
              </a:xfrm>
            </xdr:grpSpPr>
            <xdr:sp macro="" textlink="">
              <xdr:nvSpPr>
                <xdr:cNvPr id="58" name="Shape 46">
                  <a:extLst>
                    <a:ext uri="{FF2B5EF4-FFF2-40B4-BE49-F238E27FC236}">
                      <a16:creationId xmlns:a16="http://schemas.microsoft.com/office/drawing/2014/main" id="{0B39D0C9-6727-4038-8641-DD0F2690B3BF}"/>
                    </a:ext>
                  </a:extLst>
                </xdr:cNvPr>
                <xdr:cNvSpPr/>
              </xdr:nvSpPr>
              <xdr:spPr>
                <a:xfrm>
                  <a:off x="5341238" y="2689388"/>
                  <a:ext cx="9525" cy="21812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" name="Shape 47">
                  <a:extLst>
                    <a:ext uri="{FF2B5EF4-FFF2-40B4-BE49-F238E27FC236}">
                      <a16:creationId xmlns:a16="http://schemas.microsoft.com/office/drawing/2014/main" id="{A9E858CD-FEBB-4AE6-AC9E-F4CE58D2F116}"/>
                    </a:ext>
                  </a:extLst>
                </xdr:cNvPr>
                <xdr:cNvCxnSpPr/>
              </xdr:nvCxnSpPr>
              <xdr:spPr>
                <a:xfrm>
                  <a:off x="5341238" y="2689388"/>
                  <a:ext cx="9525" cy="2181225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dot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361950</xdr:colOff>
      <xdr:row>20</xdr:row>
      <xdr:rowOff>38100</xdr:rowOff>
    </xdr:from>
    <xdr:ext cx="1114425" cy="38100"/>
    <xdr:grpSp>
      <xdr:nvGrpSpPr>
        <xdr:cNvPr id="60" name="Shape 2">
          <a:extLst>
            <a:ext uri="{FF2B5EF4-FFF2-40B4-BE49-F238E27FC236}">
              <a16:creationId xmlns:a16="http://schemas.microsoft.com/office/drawing/2014/main" id="{975981B9-5AF6-4811-B903-6377E8474451}"/>
            </a:ext>
          </a:extLst>
        </xdr:cNvPr>
        <xdr:cNvGrpSpPr/>
      </xdr:nvGrpSpPr>
      <xdr:grpSpPr>
        <a:xfrm>
          <a:off x="3967843" y="3739243"/>
          <a:ext cx="1114425" cy="38100"/>
          <a:chOff x="4788788" y="3760950"/>
          <a:chExt cx="1114425" cy="38100"/>
        </a:xfrm>
      </xdr:grpSpPr>
      <xdr:grpSp>
        <xdr:nvGrpSpPr>
          <xdr:cNvPr id="61" name="Shape 48">
            <a:extLst>
              <a:ext uri="{FF2B5EF4-FFF2-40B4-BE49-F238E27FC236}">
                <a16:creationId xmlns:a16="http://schemas.microsoft.com/office/drawing/2014/main" id="{25EE1B4E-80AE-4AF9-963D-ECD62742B2B7}"/>
              </a:ext>
            </a:extLst>
          </xdr:cNvPr>
          <xdr:cNvGrpSpPr/>
        </xdr:nvGrpSpPr>
        <xdr:grpSpPr>
          <a:xfrm>
            <a:off x="4788788" y="3760950"/>
            <a:ext cx="1114425" cy="38100"/>
            <a:chOff x="4788788" y="3760950"/>
            <a:chExt cx="1114425" cy="38100"/>
          </a:xfrm>
        </xdr:grpSpPr>
        <xdr:sp macro="" textlink="">
          <xdr:nvSpPr>
            <xdr:cNvPr id="62" name="Shape 4">
              <a:extLst>
                <a:ext uri="{FF2B5EF4-FFF2-40B4-BE49-F238E27FC236}">
                  <a16:creationId xmlns:a16="http://schemas.microsoft.com/office/drawing/2014/main" id="{B1C78854-CD37-4E95-B99C-CE82CF91E800}"/>
                </a:ext>
              </a:extLst>
            </xdr:cNvPr>
            <xdr:cNvSpPr/>
          </xdr:nvSpPr>
          <xdr:spPr>
            <a:xfrm>
              <a:off x="4788788" y="3760950"/>
              <a:ext cx="11144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" name="Shape 49">
              <a:extLst>
                <a:ext uri="{FF2B5EF4-FFF2-40B4-BE49-F238E27FC236}">
                  <a16:creationId xmlns:a16="http://schemas.microsoft.com/office/drawing/2014/main" id="{8536BDC0-3482-4DD3-AD5B-2E09CF5B6C21}"/>
                </a:ext>
              </a:extLst>
            </xdr:cNvPr>
            <xdr:cNvGrpSpPr/>
          </xdr:nvGrpSpPr>
          <xdr:grpSpPr>
            <a:xfrm>
              <a:off x="4788788" y="3760950"/>
              <a:ext cx="1114425" cy="38100"/>
              <a:chOff x="4788788" y="3760950"/>
              <a:chExt cx="1114425" cy="38100"/>
            </a:xfrm>
          </xdr:grpSpPr>
          <xdr:sp macro="" textlink="">
            <xdr:nvSpPr>
              <xdr:cNvPr id="64" name="Shape 50">
                <a:extLst>
                  <a:ext uri="{FF2B5EF4-FFF2-40B4-BE49-F238E27FC236}">
                    <a16:creationId xmlns:a16="http://schemas.microsoft.com/office/drawing/2014/main" id="{90756085-BC14-48D1-A283-3F0E35C27EA3}"/>
                  </a:ext>
                </a:extLst>
              </xdr:cNvPr>
              <xdr:cNvSpPr/>
            </xdr:nvSpPr>
            <xdr:spPr>
              <a:xfrm>
                <a:off x="4788788" y="3760950"/>
                <a:ext cx="11144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" name="Shape 51">
                <a:extLst>
                  <a:ext uri="{FF2B5EF4-FFF2-40B4-BE49-F238E27FC236}">
                    <a16:creationId xmlns:a16="http://schemas.microsoft.com/office/drawing/2014/main" id="{A9202C82-C721-47C8-B2C4-07FB57A89BEB}"/>
                  </a:ext>
                </a:extLst>
              </xdr:cNvPr>
              <xdr:cNvGrpSpPr/>
            </xdr:nvGrpSpPr>
            <xdr:grpSpPr>
              <a:xfrm>
                <a:off x="4788788" y="3760950"/>
                <a:ext cx="1114425" cy="38100"/>
                <a:chOff x="4788788" y="3770475"/>
                <a:chExt cx="1114425" cy="19050"/>
              </a:xfrm>
            </xdr:grpSpPr>
            <xdr:sp macro="" textlink="">
              <xdr:nvSpPr>
                <xdr:cNvPr id="66" name="Shape 52">
                  <a:extLst>
                    <a:ext uri="{FF2B5EF4-FFF2-40B4-BE49-F238E27FC236}">
                      <a16:creationId xmlns:a16="http://schemas.microsoft.com/office/drawing/2014/main" id="{31B5251F-2BDB-4E23-B4A9-372B6C6155DE}"/>
                    </a:ext>
                  </a:extLst>
                </xdr:cNvPr>
                <xdr:cNvSpPr/>
              </xdr:nvSpPr>
              <xdr:spPr>
                <a:xfrm>
                  <a:off x="4788788" y="3770475"/>
                  <a:ext cx="1114425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" name="Shape 53">
                  <a:extLst>
                    <a:ext uri="{FF2B5EF4-FFF2-40B4-BE49-F238E27FC236}">
                      <a16:creationId xmlns:a16="http://schemas.microsoft.com/office/drawing/2014/main" id="{7240F49E-BDD6-41BA-8B05-7658FB9A5250}"/>
                    </a:ext>
                  </a:extLst>
                </xdr:cNvPr>
                <xdr:cNvCxnSpPr/>
              </xdr:nvCxnSpPr>
              <xdr:spPr>
                <a:xfrm>
                  <a:off x="4788788" y="3770475"/>
                  <a:ext cx="1114425" cy="1905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dot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533400</xdr:colOff>
      <xdr:row>50</xdr:row>
      <xdr:rowOff>0</xdr:rowOff>
    </xdr:from>
    <xdr:ext cx="3038475" cy="2847975"/>
    <xdr:sp macro="" textlink="">
      <xdr:nvSpPr>
        <xdr:cNvPr id="68" name="Shape 54">
          <a:extLst>
            <a:ext uri="{FF2B5EF4-FFF2-40B4-BE49-F238E27FC236}">
              <a16:creationId xmlns:a16="http://schemas.microsoft.com/office/drawing/2014/main" id="{69A4910E-DBC0-4B9C-A240-5981E1B3E5BD}"/>
            </a:ext>
          </a:extLst>
        </xdr:cNvPr>
        <xdr:cNvSpPr/>
      </xdr:nvSpPr>
      <xdr:spPr>
        <a:xfrm>
          <a:off x="11734800" y="9810750"/>
          <a:ext cx="3038475" cy="2847975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0"/>
          <a:headEnd type="none" w="sm" len="sm"/>
          <a:tailEnd type="none" w="sm" len="sm"/>
        </a:ln>
      </xdr:spPr>
      <xdr:txBody>
        <a:bodyPr spcFirstLastPara="1" wrap="square" lIns="27425" tIns="18275" rIns="27425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SEPARATEUR CVM</a:t>
          </a:r>
          <a:endParaRPr sz="1100"/>
        </a:p>
      </xdr:txBody>
    </xdr:sp>
    <xdr:clientData fLocksWithSheet="0"/>
  </xdr:oneCellAnchor>
  <xdr:oneCellAnchor>
    <xdr:from>
      <xdr:col>19</xdr:col>
      <xdr:colOff>742950</xdr:colOff>
      <xdr:row>50</xdr:row>
      <xdr:rowOff>161925</xdr:rowOff>
    </xdr:from>
    <xdr:ext cx="2124075" cy="57150"/>
    <xdr:grpSp>
      <xdr:nvGrpSpPr>
        <xdr:cNvPr id="69" name="Shape 2">
          <a:extLst>
            <a:ext uri="{FF2B5EF4-FFF2-40B4-BE49-F238E27FC236}">
              <a16:creationId xmlns:a16="http://schemas.microsoft.com/office/drawing/2014/main" id="{18FEE661-1252-4E09-BAE6-CE954E537B4B}"/>
            </a:ext>
          </a:extLst>
        </xdr:cNvPr>
        <xdr:cNvGrpSpPr/>
      </xdr:nvGrpSpPr>
      <xdr:grpSpPr>
        <a:xfrm>
          <a:off x="14893018" y="9986282"/>
          <a:ext cx="2124075" cy="57150"/>
          <a:chOff x="4283963" y="3751425"/>
          <a:chExt cx="2124075" cy="57150"/>
        </a:xfrm>
      </xdr:grpSpPr>
      <xdr:grpSp>
        <xdr:nvGrpSpPr>
          <xdr:cNvPr id="70" name="Shape 55">
            <a:extLst>
              <a:ext uri="{FF2B5EF4-FFF2-40B4-BE49-F238E27FC236}">
                <a16:creationId xmlns:a16="http://schemas.microsoft.com/office/drawing/2014/main" id="{75EB9EAC-F527-458F-B5DA-6DD8F0E5CE68}"/>
              </a:ext>
            </a:extLst>
          </xdr:cNvPr>
          <xdr:cNvGrpSpPr/>
        </xdr:nvGrpSpPr>
        <xdr:grpSpPr>
          <a:xfrm>
            <a:off x="4283963" y="3751425"/>
            <a:ext cx="2124075" cy="57150"/>
            <a:chOff x="4283963" y="3751425"/>
            <a:chExt cx="2124075" cy="57150"/>
          </a:xfrm>
        </xdr:grpSpPr>
        <xdr:sp macro="" textlink="">
          <xdr:nvSpPr>
            <xdr:cNvPr id="71" name="Shape 4">
              <a:extLst>
                <a:ext uri="{FF2B5EF4-FFF2-40B4-BE49-F238E27FC236}">
                  <a16:creationId xmlns:a16="http://schemas.microsoft.com/office/drawing/2014/main" id="{F938DB74-E021-4569-8BB6-C27E3703AA7F}"/>
                </a:ext>
              </a:extLst>
            </xdr:cNvPr>
            <xdr:cNvSpPr/>
          </xdr:nvSpPr>
          <xdr:spPr>
            <a:xfrm>
              <a:off x="4283963" y="3751425"/>
              <a:ext cx="2124075" cy="571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6">
              <a:extLst>
                <a:ext uri="{FF2B5EF4-FFF2-40B4-BE49-F238E27FC236}">
                  <a16:creationId xmlns:a16="http://schemas.microsoft.com/office/drawing/2014/main" id="{20D352C5-13D7-4D4E-A06D-4D3B184D387D}"/>
                </a:ext>
              </a:extLst>
            </xdr:cNvPr>
            <xdr:cNvGrpSpPr/>
          </xdr:nvGrpSpPr>
          <xdr:grpSpPr>
            <a:xfrm>
              <a:off x="4283963" y="3751425"/>
              <a:ext cx="2124075" cy="57150"/>
              <a:chOff x="4283963" y="3751425"/>
              <a:chExt cx="2124075" cy="57150"/>
            </a:xfrm>
          </xdr:grpSpPr>
          <xdr:sp macro="" textlink="">
            <xdr:nvSpPr>
              <xdr:cNvPr id="73" name="Shape 57">
                <a:extLst>
                  <a:ext uri="{FF2B5EF4-FFF2-40B4-BE49-F238E27FC236}">
                    <a16:creationId xmlns:a16="http://schemas.microsoft.com/office/drawing/2014/main" id="{B9A71260-796B-4250-AB21-D9729EC2F605}"/>
                  </a:ext>
                </a:extLst>
              </xdr:cNvPr>
              <xdr:cNvSpPr/>
            </xdr:nvSpPr>
            <xdr:spPr>
              <a:xfrm>
                <a:off x="4283963" y="3751425"/>
                <a:ext cx="2124075" cy="57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8">
                <a:extLst>
                  <a:ext uri="{FF2B5EF4-FFF2-40B4-BE49-F238E27FC236}">
                    <a16:creationId xmlns:a16="http://schemas.microsoft.com/office/drawing/2014/main" id="{20190306-2D02-4FFB-A033-87DFE77DDEF6}"/>
                  </a:ext>
                </a:extLst>
              </xdr:cNvPr>
              <xdr:cNvGrpSpPr/>
            </xdr:nvGrpSpPr>
            <xdr:grpSpPr>
              <a:xfrm>
                <a:off x="4283963" y="3751425"/>
                <a:ext cx="2124075" cy="57150"/>
                <a:chOff x="4288725" y="3756188"/>
                <a:chExt cx="2114550" cy="47625"/>
              </a:xfrm>
            </xdr:grpSpPr>
            <xdr:sp macro="" textlink="">
              <xdr:nvSpPr>
                <xdr:cNvPr id="75" name="Shape 59">
                  <a:extLst>
                    <a:ext uri="{FF2B5EF4-FFF2-40B4-BE49-F238E27FC236}">
                      <a16:creationId xmlns:a16="http://schemas.microsoft.com/office/drawing/2014/main" id="{5E17B43A-626F-4846-BADC-E642B30FBF7B}"/>
                    </a:ext>
                  </a:extLst>
                </xdr:cNvPr>
                <xdr:cNvSpPr/>
              </xdr:nvSpPr>
              <xdr:spPr>
                <a:xfrm>
                  <a:off x="4288725" y="3756188"/>
                  <a:ext cx="2114550" cy="476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60">
                  <a:extLst>
                    <a:ext uri="{FF2B5EF4-FFF2-40B4-BE49-F238E27FC236}">
                      <a16:creationId xmlns:a16="http://schemas.microsoft.com/office/drawing/2014/main" id="{C9406F0B-7C68-43D6-A548-5EFC864C8165}"/>
                    </a:ext>
                  </a:extLst>
                </xdr:cNvPr>
                <xdr:cNvCxnSpPr/>
              </xdr:nvCxnSpPr>
              <xdr:spPr>
                <a:xfrm rot="10800000">
                  <a:off x="4288725" y="3756188"/>
                  <a:ext cx="2114550" cy="476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triangle" w="med" len="med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361950</xdr:colOff>
      <xdr:row>78</xdr:row>
      <xdr:rowOff>180975</xdr:rowOff>
    </xdr:from>
    <xdr:ext cx="3038475" cy="2847975"/>
    <xdr:sp macro="" textlink="">
      <xdr:nvSpPr>
        <xdr:cNvPr id="77" name="Shape 61">
          <a:extLst>
            <a:ext uri="{FF2B5EF4-FFF2-40B4-BE49-F238E27FC236}">
              <a16:creationId xmlns:a16="http://schemas.microsoft.com/office/drawing/2014/main" id="{34EF109B-C60B-41DD-96E9-1262FE067F29}"/>
            </a:ext>
          </a:extLst>
        </xdr:cNvPr>
        <xdr:cNvSpPr/>
      </xdr:nvSpPr>
      <xdr:spPr>
        <a:xfrm>
          <a:off x="11563350" y="15592425"/>
          <a:ext cx="3038475" cy="2847975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0"/>
          <a:headEnd type="none" w="sm" len="sm"/>
          <a:tailEnd type="none" w="sm" len="sm"/>
        </a:ln>
      </xdr:spPr>
      <xdr:txBody>
        <a:bodyPr spcFirstLastPara="1" wrap="square" lIns="27425" tIns="18275" rIns="27425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SEPARATEUR D11</a:t>
          </a:r>
          <a:endParaRPr sz="1100"/>
        </a:p>
      </xdr:txBody>
    </xdr:sp>
    <xdr:clientData fLocksWithSheet="0"/>
  </xdr:oneCellAnchor>
  <xdr:oneCellAnchor>
    <xdr:from>
      <xdr:col>19</xdr:col>
      <xdr:colOff>742950</xdr:colOff>
      <xdr:row>79</xdr:row>
      <xdr:rowOff>161925</xdr:rowOff>
    </xdr:from>
    <xdr:ext cx="2124075" cy="57150"/>
    <xdr:grpSp>
      <xdr:nvGrpSpPr>
        <xdr:cNvPr id="78" name="Shape 2">
          <a:extLst>
            <a:ext uri="{FF2B5EF4-FFF2-40B4-BE49-F238E27FC236}">
              <a16:creationId xmlns:a16="http://schemas.microsoft.com/office/drawing/2014/main" id="{31A26106-449B-43F3-8354-DE87248192DB}"/>
            </a:ext>
          </a:extLst>
        </xdr:cNvPr>
        <xdr:cNvGrpSpPr/>
      </xdr:nvGrpSpPr>
      <xdr:grpSpPr>
        <a:xfrm>
          <a:off x="14893018" y="15905389"/>
          <a:ext cx="2124075" cy="57150"/>
          <a:chOff x="4283963" y="3751425"/>
          <a:chExt cx="2124075" cy="57150"/>
        </a:xfrm>
      </xdr:grpSpPr>
      <xdr:grpSp>
        <xdr:nvGrpSpPr>
          <xdr:cNvPr id="79" name="Shape 62">
            <a:extLst>
              <a:ext uri="{FF2B5EF4-FFF2-40B4-BE49-F238E27FC236}">
                <a16:creationId xmlns:a16="http://schemas.microsoft.com/office/drawing/2014/main" id="{31E8889B-1B31-4019-B228-5375263B6D07}"/>
              </a:ext>
            </a:extLst>
          </xdr:cNvPr>
          <xdr:cNvGrpSpPr/>
        </xdr:nvGrpSpPr>
        <xdr:grpSpPr>
          <a:xfrm>
            <a:off x="4283963" y="3751425"/>
            <a:ext cx="2124075" cy="57150"/>
            <a:chOff x="4283963" y="3751425"/>
            <a:chExt cx="2124075" cy="57150"/>
          </a:xfrm>
        </xdr:grpSpPr>
        <xdr:sp macro="" textlink="">
          <xdr:nvSpPr>
            <xdr:cNvPr id="80" name="Shape 4">
              <a:extLst>
                <a:ext uri="{FF2B5EF4-FFF2-40B4-BE49-F238E27FC236}">
                  <a16:creationId xmlns:a16="http://schemas.microsoft.com/office/drawing/2014/main" id="{3DD9622A-82B6-445B-AEF2-D41004644894}"/>
                </a:ext>
              </a:extLst>
            </xdr:cNvPr>
            <xdr:cNvSpPr/>
          </xdr:nvSpPr>
          <xdr:spPr>
            <a:xfrm>
              <a:off x="4283963" y="3751425"/>
              <a:ext cx="2124075" cy="571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" name="Shape 63">
              <a:extLst>
                <a:ext uri="{FF2B5EF4-FFF2-40B4-BE49-F238E27FC236}">
                  <a16:creationId xmlns:a16="http://schemas.microsoft.com/office/drawing/2014/main" id="{7CFBC20A-B6DA-46A4-829C-A29B4647B599}"/>
                </a:ext>
              </a:extLst>
            </xdr:cNvPr>
            <xdr:cNvGrpSpPr/>
          </xdr:nvGrpSpPr>
          <xdr:grpSpPr>
            <a:xfrm>
              <a:off x="4283963" y="3751425"/>
              <a:ext cx="2124075" cy="57150"/>
              <a:chOff x="4283963" y="3751425"/>
              <a:chExt cx="2124075" cy="57150"/>
            </a:xfrm>
          </xdr:grpSpPr>
          <xdr:sp macro="" textlink="">
            <xdr:nvSpPr>
              <xdr:cNvPr id="82" name="Shape 64">
                <a:extLst>
                  <a:ext uri="{FF2B5EF4-FFF2-40B4-BE49-F238E27FC236}">
                    <a16:creationId xmlns:a16="http://schemas.microsoft.com/office/drawing/2014/main" id="{1C1FB094-6B6E-46F9-A2BC-E8AD559ABBB9}"/>
                  </a:ext>
                </a:extLst>
              </xdr:cNvPr>
              <xdr:cNvSpPr/>
            </xdr:nvSpPr>
            <xdr:spPr>
              <a:xfrm>
                <a:off x="4283963" y="3751425"/>
                <a:ext cx="2124075" cy="57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" name="Shape 65">
                <a:extLst>
                  <a:ext uri="{FF2B5EF4-FFF2-40B4-BE49-F238E27FC236}">
                    <a16:creationId xmlns:a16="http://schemas.microsoft.com/office/drawing/2014/main" id="{44ADF587-FA15-42D2-8C20-B808D2DE5706}"/>
                  </a:ext>
                </a:extLst>
              </xdr:cNvPr>
              <xdr:cNvGrpSpPr/>
            </xdr:nvGrpSpPr>
            <xdr:grpSpPr>
              <a:xfrm>
                <a:off x="4283963" y="3751425"/>
                <a:ext cx="2124075" cy="57150"/>
                <a:chOff x="4288725" y="3756188"/>
                <a:chExt cx="2114550" cy="47625"/>
              </a:xfrm>
            </xdr:grpSpPr>
            <xdr:sp macro="" textlink="">
              <xdr:nvSpPr>
                <xdr:cNvPr id="84" name="Shape 66">
                  <a:extLst>
                    <a:ext uri="{FF2B5EF4-FFF2-40B4-BE49-F238E27FC236}">
                      <a16:creationId xmlns:a16="http://schemas.microsoft.com/office/drawing/2014/main" id="{15C0A8E3-F042-4182-B482-4373966348A0}"/>
                    </a:ext>
                  </a:extLst>
                </xdr:cNvPr>
                <xdr:cNvSpPr/>
              </xdr:nvSpPr>
              <xdr:spPr>
                <a:xfrm>
                  <a:off x="4288725" y="3756188"/>
                  <a:ext cx="2114550" cy="476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" name="Shape 67">
                  <a:extLst>
                    <a:ext uri="{FF2B5EF4-FFF2-40B4-BE49-F238E27FC236}">
                      <a16:creationId xmlns:a16="http://schemas.microsoft.com/office/drawing/2014/main" id="{67ED21F2-BC32-4219-9C9C-3962DFCBE695}"/>
                    </a:ext>
                  </a:extLst>
                </xdr:cNvPr>
                <xdr:cNvCxnSpPr/>
              </xdr:nvCxnSpPr>
              <xdr:spPr>
                <a:xfrm rot="10800000">
                  <a:off x="4288725" y="3756188"/>
                  <a:ext cx="2114550" cy="476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triangle" w="med" len="med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266700</xdr:colOff>
      <xdr:row>64</xdr:row>
      <xdr:rowOff>0</xdr:rowOff>
    </xdr:from>
    <xdr:ext cx="57150" cy="2952750"/>
    <xdr:grpSp>
      <xdr:nvGrpSpPr>
        <xdr:cNvPr id="86" name="Shape 2">
          <a:extLst>
            <a:ext uri="{FF2B5EF4-FFF2-40B4-BE49-F238E27FC236}">
              <a16:creationId xmlns:a16="http://schemas.microsoft.com/office/drawing/2014/main" id="{18EB44F1-9C1C-4E9C-BC5B-2F548804DCC8}"/>
            </a:ext>
          </a:extLst>
        </xdr:cNvPr>
        <xdr:cNvGrpSpPr/>
      </xdr:nvGrpSpPr>
      <xdr:grpSpPr>
        <a:xfrm>
          <a:off x="13002986" y="12681857"/>
          <a:ext cx="57150" cy="2952750"/>
          <a:chOff x="5317425" y="2303625"/>
          <a:chExt cx="57150" cy="2952750"/>
        </a:xfrm>
      </xdr:grpSpPr>
      <xdr:grpSp>
        <xdr:nvGrpSpPr>
          <xdr:cNvPr id="87" name="Shape 68">
            <a:extLst>
              <a:ext uri="{FF2B5EF4-FFF2-40B4-BE49-F238E27FC236}">
                <a16:creationId xmlns:a16="http://schemas.microsoft.com/office/drawing/2014/main" id="{16610B12-C2CD-4A60-8954-7B6FF265CB8F}"/>
              </a:ext>
            </a:extLst>
          </xdr:cNvPr>
          <xdr:cNvGrpSpPr/>
        </xdr:nvGrpSpPr>
        <xdr:grpSpPr>
          <a:xfrm>
            <a:off x="5317425" y="2303625"/>
            <a:ext cx="57150" cy="2952750"/>
            <a:chOff x="5317425" y="2303625"/>
            <a:chExt cx="57150" cy="2952750"/>
          </a:xfrm>
        </xdr:grpSpPr>
        <xdr:sp macro="" textlink="">
          <xdr:nvSpPr>
            <xdr:cNvPr id="88" name="Shape 4">
              <a:extLst>
                <a:ext uri="{FF2B5EF4-FFF2-40B4-BE49-F238E27FC236}">
                  <a16:creationId xmlns:a16="http://schemas.microsoft.com/office/drawing/2014/main" id="{E8DAD480-D08A-4D64-AC41-8656EC352D43}"/>
                </a:ext>
              </a:extLst>
            </xdr:cNvPr>
            <xdr:cNvSpPr/>
          </xdr:nvSpPr>
          <xdr:spPr>
            <a:xfrm>
              <a:off x="5317425" y="2303625"/>
              <a:ext cx="57150" cy="2952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" name="Shape 69">
              <a:extLst>
                <a:ext uri="{FF2B5EF4-FFF2-40B4-BE49-F238E27FC236}">
                  <a16:creationId xmlns:a16="http://schemas.microsoft.com/office/drawing/2014/main" id="{98EEED95-5AA9-4629-AFC9-A379C94EA67F}"/>
                </a:ext>
              </a:extLst>
            </xdr:cNvPr>
            <xdr:cNvGrpSpPr/>
          </xdr:nvGrpSpPr>
          <xdr:grpSpPr>
            <a:xfrm>
              <a:off x="5317425" y="2303625"/>
              <a:ext cx="57150" cy="2952750"/>
              <a:chOff x="5317425" y="2303625"/>
              <a:chExt cx="57150" cy="2952750"/>
            </a:xfrm>
          </xdr:grpSpPr>
          <xdr:sp macro="" textlink="">
            <xdr:nvSpPr>
              <xdr:cNvPr id="90" name="Shape 70">
                <a:extLst>
                  <a:ext uri="{FF2B5EF4-FFF2-40B4-BE49-F238E27FC236}">
                    <a16:creationId xmlns:a16="http://schemas.microsoft.com/office/drawing/2014/main" id="{A8A913C8-C9BD-4336-A606-04D6CBED778E}"/>
                  </a:ext>
                </a:extLst>
              </xdr:cNvPr>
              <xdr:cNvSpPr/>
            </xdr:nvSpPr>
            <xdr:spPr>
              <a:xfrm>
                <a:off x="5317425" y="2303625"/>
                <a:ext cx="57150" cy="29527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" name="Shape 71">
                <a:extLst>
                  <a:ext uri="{FF2B5EF4-FFF2-40B4-BE49-F238E27FC236}">
                    <a16:creationId xmlns:a16="http://schemas.microsoft.com/office/drawing/2014/main" id="{CBA00D7C-EB35-4F6A-9770-35424FBEA34F}"/>
                  </a:ext>
                </a:extLst>
              </xdr:cNvPr>
              <xdr:cNvGrpSpPr/>
            </xdr:nvGrpSpPr>
            <xdr:grpSpPr>
              <a:xfrm>
                <a:off x="5317425" y="2303625"/>
                <a:ext cx="57150" cy="2952750"/>
                <a:chOff x="5317425" y="2303625"/>
                <a:chExt cx="57150" cy="2952750"/>
              </a:xfrm>
            </xdr:grpSpPr>
            <xdr:sp macro="" textlink="">
              <xdr:nvSpPr>
                <xdr:cNvPr id="92" name="Shape 72">
                  <a:extLst>
                    <a:ext uri="{FF2B5EF4-FFF2-40B4-BE49-F238E27FC236}">
                      <a16:creationId xmlns:a16="http://schemas.microsoft.com/office/drawing/2014/main" id="{55DC6671-5661-4CB8-A2A7-3A2FF5D57AB6}"/>
                    </a:ext>
                  </a:extLst>
                </xdr:cNvPr>
                <xdr:cNvSpPr/>
              </xdr:nvSpPr>
              <xdr:spPr>
                <a:xfrm>
                  <a:off x="5317425" y="2303625"/>
                  <a:ext cx="57150" cy="29527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" name="Shape 73">
                  <a:extLst>
                    <a:ext uri="{FF2B5EF4-FFF2-40B4-BE49-F238E27FC236}">
                      <a16:creationId xmlns:a16="http://schemas.microsoft.com/office/drawing/2014/main" id="{B99AC550-306F-4A4C-8169-23DF36B72353}"/>
                    </a:ext>
                  </a:extLst>
                </xdr:cNvPr>
                <xdr:cNvCxnSpPr/>
              </xdr:nvCxnSpPr>
              <xdr:spPr>
                <a:xfrm rot="10800000">
                  <a:off x="5317425" y="2303625"/>
                  <a:ext cx="57150" cy="29527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triangle" w="med" len="med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609600</xdr:colOff>
      <xdr:row>99</xdr:row>
      <xdr:rowOff>19050</xdr:rowOff>
    </xdr:from>
    <xdr:ext cx="2286000" cy="28575"/>
    <xdr:grpSp>
      <xdr:nvGrpSpPr>
        <xdr:cNvPr id="94" name="Shape 2">
          <a:extLst>
            <a:ext uri="{FF2B5EF4-FFF2-40B4-BE49-F238E27FC236}">
              <a16:creationId xmlns:a16="http://schemas.microsoft.com/office/drawing/2014/main" id="{99D59F44-5E83-4CBD-8837-C4CD9B488C4F}"/>
            </a:ext>
          </a:extLst>
        </xdr:cNvPr>
        <xdr:cNvGrpSpPr/>
      </xdr:nvGrpSpPr>
      <xdr:grpSpPr>
        <a:xfrm>
          <a:off x="13345886" y="19844657"/>
          <a:ext cx="2286000" cy="28575"/>
          <a:chOff x="4203000" y="3765713"/>
          <a:chExt cx="2286000" cy="28575"/>
        </a:xfrm>
      </xdr:grpSpPr>
      <xdr:grpSp>
        <xdr:nvGrpSpPr>
          <xdr:cNvPr id="95" name="Shape 74">
            <a:extLst>
              <a:ext uri="{FF2B5EF4-FFF2-40B4-BE49-F238E27FC236}">
                <a16:creationId xmlns:a16="http://schemas.microsoft.com/office/drawing/2014/main" id="{E9BD2136-DF91-4399-A728-02D2B895FB2F}"/>
              </a:ext>
            </a:extLst>
          </xdr:cNvPr>
          <xdr:cNvGrpSpPr/>
        </xdr:nvGrpSpPr>
        <xdr:grpSpPr>
          <a:xfrm>
            <a:off x="4203000" y="3765713"/>
            <a:ext cx="2286000" cy="28575"/>
            <a:chOff x="4203000" y="3765713"/>
            <a:chExt cx="2286000" cy="28575"/>
          </a:xfrm>
        </xdr:grpSpPr>
        <xdr:sp macro="" textlink="">
          <xdr:nvSpPr>
            <xdr:cNvPr id="96" name="Shape 4">
              <a:extLst>
                <a:ext uri="{FF2B5EF4-FFF2-40B4-BE49-F238E27FC236}">
                  <a16:creationId xmlns:a16="http://schemas.microsoft.com/office/drawing/2014/main" id="{697C38FF-F432-4038-94D7-22559234D927}"/>
                </a:ext>
              </a:extLst>
            </xdr:cNvPr>
            <xdr:cNvSpPr/>
          </xdr:nvSpPr>
          <xdr:spPr>
            <a:xfrm>
              <a:off x="4203000" y="3765713"/>
              <a:ext cx="22860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" name="Shape 75">
              <a:extLst>
                <a:ext uri="{FF2B5EF4-FFF2-40B4-BE49-F238E27FC236}">
                  <a16:creationId xmlns:a16="http://schemas.microsoft.com/office/drawing/2014/main" id="{58911E4F-BCB2-40EB-8A2B-9B8A1E8C6646}"/>
                </a:ext>
              </a:extLst>
            </xdr:cNvPr>
            <xdr:cNvGrpSpPr/>
          </xdr:nvGrpSpPr>
          <xdr:grpSpPr>
            <a:xfrm>
              <a:off x="4203000" y="3765713"/>
              <a:ext cx="2286000" cy="28575"/>
              <a:chOff x="4203000" y="3765713"/>
              <a:chExt cx="2286000" cy="28575"/>
            </a:xfrm>
          </xdr:grpSpPr>
          <xdr:sp macro="" textlink="">
            <xdr:nvSpPr>
              <xdr:cNvPr id="98" name="Shape 76">
                <a:extLst>
                  <a:ext uri="{FF2B5EF4-FFF2-40B4-BE49-F238E27FC236}">
                    <a16:creationId xmlns:a16="http://schemas.microsoft.com/office/drawing/2014/main" id="{81C79A81-879C-4A31-A517-3AD826AE4770}"/>
                  </a:ext>
                </a:extLst>
              </xdr:cNvPr>
              <xdr:cNvSpPr/>
            </xdr:nvSpPr>
            <xdr:spPr>
              <a:xfrm>
                <a:off x="4203000" y="3765713"/>
                <a:ext cx="22860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" name="Shape 77">
                <a:extLst>
                  <a:ext uri="{FF2B5EF4-FFF2-40B4-BE49-F238E27FC236}">
                    <a16:creationId xmlns:a16="http://schemas.microsoft.com/office/drawing/2014/main" id="{213226EB-D0EA-49F0-AE4E-A7D85B687A28}"/>
                  </a:ext>
                </a:extLst>
              </xdr:cNvPr>
              <xdr:cNvGrpSpPr/>
            </xdr:nvGrpSpPr>
            <xdr:grpSpPr>
              <a:xfrm>
                <a:off x="4203000" y="3765713"/>
                <a:ext cx="2286000" cy="28575"/>
                <a:chOff x="4203000" y="3775238"/>
                <a:chExt cx="2286000" cy="9525"/>
              </a:xfrm>
            </xdr:grpSpPr>
            <xdr:sp macro="" textlink="">
              <xdr:nvSpPr>
                <xdr:cNvPr id="100" name="Shape 78">
                  <a:extLst>
                    <a:ext uri="{FF2B5EF4-FFF2-40B4-BE49-F238E27FC236}">
                      <a16:creationId xmlns:a16="http://schemas.microsoft.com/office/drawing/2014/main" id="{77F34DFC-C878-4D63-A527-7959CA2C45F3}"/>
                    </a:ext>
                  </a:extLst>
                </xdr:cNvPr>
                <xdr:cNvSpPr/>
              </xdr:nvSpPr>
              <xdr:spPr>
                <a:xfrm>
                  <a:off x="4203000" y="3775238"/>
                  <a:ext cx="2286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" name="Shape 79">
                  <a:extLst>
                    <a:ext uri="{FF2B5EF4-FFF2-40B4-BE49-F238E27FC236}">
                      <a16:creationId xmlns:a16="http://schemas.microsoft.com/office/drawing/2014/main" id="{5D55A39C-B9EB-4629-95FD-A01E3DF59317}"/>
                    </a:ext>
                  </a:extLst>
                </xdr:cNvPr>
                <xdr:cNvCxnSpPr/>
              </xdr:nvCxnSpPr>
              <xdr:spPr>
                <a:xfrm rot="10800000">
                  <a:off x="4203000" y="3775238"/>
                  <a:ext cx="2286000" cy="9525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dot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544831</xdr:colOff>
      <xdr:row>93</xdr:row>
      <xdr:rowOff>19050</xdr:rowOff>
    </xdr:from>
    <xdr:ext cx="45719" cy="3028950"/>
    <xdr:grpSp>
      <xdr:nvGrpSpPr>
        <xdr:cNvPr id="102" name="Shape 2">
          <a:extLst>
            <a:ext uri="{FF2B5EF4-FFF2-40B4-BE49-F238E27FC236}">
              <a16:creationId xmlns:a16="http://schemas.microsoft.com/office/drawing/2014/main" id="{5EE0DE90-83E8-4134-8AFB-8C274F48E76F}"/>
            </a:ext>
          </a:extLst>
        </xdr:cNvPr>
        <xdr:cNvGrpSpPr/>
      </xdr:nvGrpSpPr>
      <xdr:grpSpPr>
        <a:xfrm flipH="1">
          <a:off x="13281117" y="18620014"/>
          <a:ext cx="45719" cy="3028950"/>
          <a:chOff x="5317425" y="2303625"/>
          <a:chExt cx="57150" cy="2952750"/>
        </a:xfrm>
      </xdr:grpSpPr>
      <xdr:grpSp>
        <xdr:nvGrpSpPr>
          <xdr:cNvPr id="103" name="Shape 80">
            <a:extLst>
              <a:ext uri="{FF2B5EF4-FFF2-40B4-BE49-F238E27FC236}">
                <a16:creationId xmlns:a16="http://schemas.microsoft.com/office/drawing/2014/main" id="{EB1AA4B9-019C-446B-BA55-BD8BC3898694}"/>
              </a:ext>
            </a:extLst>
          </xdr:cNvPr>
          <xdr:cNvGrpSpPr/>
        </xdr:nvGrpSpPr>
        <xdr:grpSpPr>
          <a:xfrm>
            <a:off x="5317425" y="2303625"/>
            <a:ext cx="57150" cy="2952750"/>
            <a:chOff x="5317425" y="2303625"/>
            <a:chExt cx="57150" cy="2952750"/>
          </a:xfrm>
        </xdr:grpSpPr>
        <xdr:sp macro="" textlink="">
          <xdr:nvSpPr>
            <xdr:cNvPr id="104" name="Shape 4">
              <a:extLst>
                <a:ext uri="{FF2B5EF4-FFF2-40B4-BE49-F238E27FC236}">
                  <a16:creationId xmlns:a16="http://schemas.microsoft.com/office/drawing/2014/main" id="{F7F971E3-A524-4933-AE67-DC89EF6054FB}"/>
                </a:ext>
              </a:extLst>
            </xdr:cNvPr>
            <xdr:cNvSpPr/>
          </xdr:nvSpPr>
          <xdr:spPr>
            <a:xfrm>
              <a:off x="5317425" y="2303625"/>
              <a:ext cx="57150" cy="2952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" name="Shape 81">
              <a:extLst>
                <a:ext uri="{FF2B5EF4-FFF2-40B4-BE49-F238E27FC236}">
                  <a16:creationId xmlns:a16="http://schemas.microsoft.com/office/drawing/2014/main" id="{AAEF295D-448E-4932-9489-758E8C81F178}"/>
                </a:ext>
              </a:extLst>
            </xdr:cNvPr>
            <xdr:cNvGrpSpPr/>
          </xdr:nvGrpSpPr>
          <xdr:grpSpPr>
            <a:xfrm>
              <a:off x="5317425" y="2303625"/>
              <a:ext cx="57150" cy="2952750"/>
              <a:chOff x="5317425" y="2303625"/>
              <a:chExt cx="57150" cy="2952750"/>
            </a:xfrm>
          </xdr:grpSpPr>
          <xdr:sp macro="" textlink="">
            <xdr:nvSpPr>
              <xdr:cNvPr id="106" name="Shape 82">
                <a:extLst>
                  <a:ext uri="{FF2B5EF4-FFF2-40B4-BE49-F238E27FC236}">
                    <a16:creationId xmlns:a16="http://schemas.microsoft.com/office/drawing/2014/main" id="{EBCCA7F3-DD4F-4273-923D-2397D47BD2C2}"/>
                  </a:ext>
                </a:extLst>
              </xdr:cNvPr>
              <xdr:cNvSpPr/>
            </xdr:nvSpPr>
            <xdr:spPr>
              <a:xfrm>
                <a:off x="5317425" y="2303625"/>
                <a:ext cx="57150" cy="29527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" name="Shape 83">
                <a:extLst>
                  <a:ext uri="{FF2B5EF4-FFF2-40B4-BE49-F238E27FC236}">
                    <a16:creationId xmlns:a16="http://schemas.microsoft.com/office/drawing/2014/main" id="{241661E9-5842-4A62-B1BD-3F0009D47049}"/>
                  </a:ext>
                </a:extLst>
              </xdr:cNvPr>
              <xdr:cNvGrpSpPr/>
            </xdr:nvGrpSpPr>
            <xdr:grpSpPr>
              <a:xfrm>
                <a:off x="5317425" y="2303625"/>
                <a:ext cx="57150" cy="2952750"/>
                <a:chOff x="5317425" y="2303625"/>
                <a:chExt cx="57150" cy="2952750"/>
              </a:xfrm>
            </xdr:grpSpPr>
            <xdr:sp macro="" textlink="">
              <xdr:nvSpPr>
                <xdr:cNvPr id="108" name="Shape 84">
                  <a:extLst>
                    <a:ext uri="{FF2B5EF4-FFF2-40B4-BE49-F238E27FC236}">
                      <a16:creationId xmlns:a16="http://schemas.microsoft.com/office/drawing/2014/main" id="{134D732F-1E21-47D5-848E-2EC5A03EC5B3}"/>
                    </a:ext>
                  </a:extLst>
                </xdr:cNvPr>
                <xdr:cNvSpPr/>
              </xdr:nvSpPr>
              <xdr:spPr>
                <a:xfrm>
                  <a:off x="5317425" y="2303625"/>
                  <a:ext cx="57150" cy="29527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" name="Shape 85">
                  <a:extLst>
                    <a:ext uri="{FF2B5EF4-FFF2-40B4-BE49-F238E27FC236}">
                      <a16:creationId xmlns:a16="http://schemas.microsoft.com/office/drawing/2014/main" id="{BCEB58B2-2263-4ED6-81B5-DB656C781291}"/>
                    </a:ext>
                  </a:extLst>
                </xdr:cNvPr>
                <xdr:cNvCxnSpPr/>
              </xdr:nvCxnSpPr>
              <xdr:spPr>
                <a:xfrm rot="10800000">
                  <a:off x="5317425" y="2303625"/>
                  <a:ext cx="57150" cy="29527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triangle" w="med" len="med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647700</xdr:colOff>
      <xdr:row>107</xdr:row>
      <xdr:rowOff>161925</xdr:rowOff>
    </xdr:from>
    <xdr:ext cx="5076825" cy="38100"/>
    <xdr:grpSp>
      <xdr:nvGrpSpPr>
        <xdr:cNvPr id="110" name="Shape 2">
          <a:extLst>
            <a:ext uri="{FF2B5EF4-FFF2-40B4-BE49-F238E27FC236}">
              <a16:creationId xmlns:a16="http://schemas.microsoft.com/office/drawing/2014/main" id="{4BB38C47-8266-4F5D-A08D-89A887446C3A}"/>
            </a:ext>
          </a:extLst>
        </xdr:cNvPr>
        <xdr:cNvGrpSpPr/>
      </xdr:nvGrpSpPr>
      <xdr:grpSpPr>
        <a:xfrm>
          <a:off x="13383986" y="21620389"/>
          <a:ext cx="5076825" cy="38100"/>
          <a:chOff x="2807588" y="3760950"/>
          <a:chExt cx="5076825" cy="38100"/>
        </a:xfrm>
      </xdr:grpSpPr>
      <xdr:grpSp>
        <xdr:nvGrpSpPr>
          <xdr:cNvPr id="111" name="Shape 86">
            <a:extLst>
              <a:ext uri="{FF2B5EF4-FFF2-40B4-BE49-F238E27FC236}">
                <a16:creationId xmlns:a16="http://schemas.microsoft.com/office/drawing/2014/main" id="{14CA8AD4-CE79-4641-9820-D4C93B18C472}"/>
              </a:ext>
            </a:extLst>
          </xdr:cNvPr>
          <xdr:cNvGrpSpPr/>
        </xdr:nvGrpSpPr>
        <xdr:grpSpPr>
          <a:xfrm>
            <a:off x="2807588" y="3760950"/>
            <a:ext cx="5076825" cy="38100"/>
            <a:chOff x="2807588" y="3760950"/>
            <a:chExt cx="5076825" cy="38100"/>
          </a:xfrm>
        </xdr:grpSpPr>
        <xdr:sp macro="" textlink="">
          <xdr:nvSpPr>
            <xdr:cNvPr id="112" name="Shape 4">
              <a:extLst>
                <a:ext uri="{FF2B5EF4-FFF2-40B4-BE49-F238E27FC236}">
                  <a16:creationId xmlns:a16="http://schemas.microsoft.com/office/drawing/2014/main" id="{AFB5ABDA-2DEC-466A-979D-8E29678BE24C}"/>
                </a:ext>
              </a:extLst>
            </xdr:cNvPr>
            <xdr:cNvSpPr/>
          </xdr:nvSpPr>
          <xdr:spPr>
            <a:xfrm>
              <a:off x="2807588" y="3760950"/>
              <a:ext cx="50768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" name="Shape 87">
              <a:extLst>
                <a:ext uri="{FF2B5EF4-FFF2-40B4-BE49-F238E27FC236}">
                  <a16:creationId xmlns:a16="http://schemas.microsoft.com/office/drawing/2014/main" id="{F2550B24-EF4F-4C91-B122-5C4798D5A300}"/>
                </a:ext>
              </a:extLst>
            </xdr:cNvPr>
            <xdr:cNvGrpSpPr/>
          </xdr:nvGrpSpPr>
          <xdr:grpSpPr>
            <a:xfrm>
              <a:off x="2807588" y="3760950"/>
              <a:ext cx="5076825" cy="38100"/>
              <a:chOff x="2807588" y="3760950"/>
              <a:chExt cx="5076825" cy="38100"/>
            </a:xfrm>
          </xdr:grpSpPr>
          <xdr:sp macro="" textlink="">
            <xdr:nvSpPr>
              <xdr:cNvPr id="114" name="Shape 88">
                <a:extLst>
                  <a:ext uri="{FF2B5EF4-FFF2-40B4-BE49-F238E27FC236}">
                    <a16:creationId xmlns:a16="http://schemas.microsoft.com/office/drawing/2014/main" id="{E2ADF405-6C56-4C3C-9D32-465225702868}"/>
                  </a:ext>
                </a:extLst>
              </xdr:cNvPr>
              <xdr:cNvSpPr/>
            </xdr:nvSpPr>
            <xdr:spPr>
              <a:xfrm>
                <a:off x="2807588" y="3760950"/>
                <a:ext cx="50768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" name="Shape 89">
                <a:extLst>
                  <a:ext uri="{FF2B5EF4-FFF2-40B4-BE49-F238E27FC236}">
                    <a16:creationId xmlns:a16="http://schemas.microsoft.com/office/drawing/2014/main" id="{E373BBA7-A82E-4AF3-A9B6-630BC6A3FF94}"/>
                  </a:ext>
                </a:extLst>
              </xdr:cNvPr>
              <xdr:cNvGrpSpPr/>
            </xdr:nvGrpSpPr>
            <xdr:grpSpPr>
              <a:xfrm>
                <a:off x="2807588" y="3760950"/>
                <a:ext cx="5076825" cy="38100"/>
                <a:chOff x="2807588" y="3765713"/>
                <a:chExt cx="5076825" cy="28575"/>
              </a:xfrm>
            </xdr:grpSpPr>
            <xdr:sp macro="" textlink="">
              <xdr:nvSpPr>
                <xdr:cNvPr id="116" name="Shape 90">
                  <a:extLst>
                    <a:ext uri="{FF2B5EF4-FFF2-40B4-BE49-F238E27FC236}">
                      <a16:creationId xmlns:a16="http://schemas.microsoft.com/office/drawing/2014/main" id="{F08B639A-F946-499F-B2B8-03803E720F47}"/>
                    </a:ext>
                  </a:extLst>
                </xdr:cNvPr>
                <xdr:cNvSpPr/>
              </xdr:nvSpPr>
              <xdr:spPr>
                <a:xfrm>
                  <a:off x="2807588" y="3765713"/>
                  <a:ext cx="5076825" cy="28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B69D4007-ED33-4C8E-B086-6E69B302BF42}"/>
                    </a:ext>
                  </a:extLst>
                </xdr:cNvPr>
                <xdr:cNvCxnSpPr/>
              </xdr:nvCxnSpPr>
              <xdr:spPr>
                <a:xfrm rot="10800000">
                  <a:off x="2807588" y="3765713"/>
                  <a:ext cx="5076825" cy="2857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triangle" w="med" len="med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9525</xdr:colOff>
      <xdr:row>107</xdr:row>
      <xdr:rowOff>122465</xdr:rowOff>
    </xdr:from>
    <xdr:ext cx="9760403" cy="87085"/>
    <xdr:grpSp>
      <xdr:nvGrpSpPr>
        <xdr:cNvPr id="118" name="Shape 2">
          <a:extLst>
            <a:ext uri="{FF2B5EF4-FFF2-40B4-BE49-F238E27FC236}">
              <a16:creationId xmlns:a16="http://schemas.microsoft.com/office/drawing/2014/main" id="{A240DFF2-F1AC-41AB-9F1F-CB6712EEBE5A}"/>
            </a:ext>
          </a:extLst>
        </xdr:cNvPr>
        <xdr:cNvGrpSpPr/>
      </xdr:nvGrpSpPr>
      <xdr:grpSpPr>
        <a:xfrm>
          <a:off x="3615418" y="21580929"/>
          <a:ext cx="9760403" cy="87085"/>
          <a:chOff x="740663" y="3760950"/>
          <a:chExt cx="9210675" cy="38100"/>
        </a:xfrm>
      </xdr:grpSpPr>
      <xdr:grpSp>
        <xdr:nvGrpSpPr>
          <xdr:cNvPr id="119" name="Shape 92">
            <a:extLst>
              <a:ext uri="{FF2B5EF4-FFF2-40B4-BE49-F238E27FC236}">
                <a16:creationId xmlns:a16="http://schemas.microsoft.com/office/drawing/2014/main" id="{35216E60-09F8-4DDF-9AB6-C2DD86AECC42}"/>
              </a:ext>
            </a:extLst>
          </xdr:cNvPr>
          <xdr:cNvGrpSpPr/>
        </xdr:nvGrpSpPr>
        <xdr:grpSpPr>
          <a:xfrm>
            <a:off x="740663" y="3760950"/>
            <a:ext cx="9210675" cy="38100"/>
            <a:chOff x="740663" y="3760950"/>
            <a:chExt cx="9210675" cy="38100"/>
          </a:xfrm>
        </xdr:grpSpPr>
        <xdr:sp macro="" textlink="">
          <xdr:nvSpPr>
            <xdr:cNvPr id="120" name="Shape 4">
              <a:extLst>
                <a:ext uri="{FF2B5EF4-FFF2-40B4-BE49-F238E27FC236}">
                  <a16:creationId xmlns:a16="http://schemas.microsoft.com/office/drawing/2014/main" id="{73004699-9898-4AEC-B6DB-2B6727D8D2C3}"/>
                </a:ext>
              </a:extLst>
            </xdr:cNvPr>
            <xdr:cNvSpPr/>
          </xdr:nvSpPr>
          <xdr:spPr>
            <a:xfrm>
              <a:off x="740663" y="3760950"/>
              <a:ext cx="92106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" name="Shape 93">
              <a:extLst>
                <a:ext uri="{FF2B5EF4-FFF2-40B4-BE49-F238E27FC236}">
                  <a16:creationId xmlns:a16="http://schemas.microsoft.com/office/drawing/2014/main" id="{22377456-3410-4543-8B08-321C5C1D0554}"/>
                </a:ext>
              </a:extLst>
            </xdr:cNvPr>
            <xdr:cNvGrpSpPr/>
          </xdr:nvGrpSpPr>
          <xdr:grpSpPr>
            <a:xfrm>
              <a:off x="740663" y="3760950"/>
              <a:ext cx="9210675" cy="38100"/>
              <a:chOff x="740663" y="3760950"/>
              <a:chExt cx="9210675" cy="38100"/>
            </a:xfrm>
          </xdr:grpSpPr>
          <xdr:sp macro="" textlink="">
            <xdr:nvSpPr>
              <xdr:cNvPr id="122" name="Shape 94">
                <a:extLst>
                  <a:ext uri="{FF2B5EF4-FFF2-40B4-BE49-F238E27FC236}">
                    <a16:creationId xmlns:a16="http://schemas.microsoft.com/office/drawing/2014/main" id="{2AC9495F-98AD-4E56-9C4C-DABD23C92AA9}"/>
                  </a:ext>
                </a:extLst>
              </xdr:cNvPr>
              <xdr:cNvSpPr/>
            </xdr:nvSpPr>
            <xdr:spPr>
              <a:xfrm>
                <a:off x="740663" y="3760950"/>
                <a:ext cx="92106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" name="Shape 95">
                <a:extLst>
                  <a:ext uri="{FF2B5EF4-FFF2-40B4-BE49-F238E27FC236}">
                    <a16:creationId xmlns:a16="http://schemas.microsoft.com/office/drawing/2014/main" id="{282211BB-0313-4D20-BF87-DDC6F2F6A8BD}"/>
                  </a:ext>
                </a:extLst>
              </xdr:cNvPr>
              <xdr:cNvGrpSpPr/>
            </xdr:nvGrpSpPr>
            <xdr:grpSpPr>
              <a:xfrm>
                <a:off x="740663" y="3760950"/>
                <a:ext cx="9210675" cy="38100"/>
                <a:chOff x="740663" y="3765713"/>
                <a:chExt cx="9210675" cy="28575"/>
              </a:xfrm>
            </xdr:grpSpPr>
            <xdr:sp macro="" textlink="">
              <xdr:nvSpPr>
                <xdr:cNvPr id="124" name="Shape 96">
                  <a:extLst>
                    <a:ext uri="{FF2B5EF4-FFF2-40B4-BE49-F238E27FC236}">
                      <a16:creationId xmlns:a16="http://schemas.microsoft.com/office/drawing/2014/main" id="{6182DFB1-6F70-4F34-86B8-7A9936E34336}"/>
                    </a:ext>
                  </a:extLst>
                </xdr:cNvPr>
                <xdr:cNvSpPr/>
              </xdr:nvSpPr>
              <xdr:spPr>
                <a:xfrm>
                  <a:off x="740663" y="3765713"/>
                  <a:ext cx="9210675" cy="28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" name="Shape 97">
                  <a:extLst>
                    <a:ext uri="{FF2B5EF4-FFF2-40B4-BE49-F238E27FC236}">
                      <a16:creationId xmlns:a16="http://schemas.microsoft.com/office/drawing/2014/main" id="{E35FE564-9AE5-4EB6-877A-A88F02059E22}"/>
                    </a:ext>
                  </a:extLst>
                </xdr:cNvPr>
                <xdr:cNvCxnSpPr/>
              </xdr:nvCxnSpPr>
              <xdr:spPr>
                <a:xfrm rot="10800000" flipH="1">
                  <a:off x="740663" y="3765713"/>
                  <a:ext cx="9210675" cy="2857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triangle" w="med" len="med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685800</xdr:colOff>
      <xdr:row>50</xdr:row>
      <xdr:rowOff>142875</xdr:rowOff>
    </xdr:from>
    <xdr:ext cx="762000" cy="95250"/>
    <xdr:grpSp>
      <xdr:nvGrpSpPr>
        <xdr:cNvPr id="126" name="Shape 2">
          <a:extLst>
            <a:ext uri="{FF2B5EF4-FFF2-40B4-BE49-F238E27FC236}">
              <a16:creationId xmlns:a16="http://schemas.microsoft.com/office/drawing/2014/main" id="{7F08DBED-DEB0-4B16-A0A3-761FC41307FF}"/>
            </a:ext>
          </a:extLst>
        </xdr:cNvPr>
        <xdr:cNvGrpSpPr/>
      </xdr:nvGrpSpPr>
      <xdr:grpSpPr>
        <a:xfrm>
          <a:off x="3570514" y="9967232"/>
          <a:ext cx="762000" cy="95250"/>
          <a:chOff x="4965000" y="3732375"/>
          <a:chExt cx="762000" cy="95250"/>
        </a:xfrm>
      </xdr:grpSpPr>
      <xdr:grpSp>
        <xdr:nvGrpSpPr>
          <xdr:cNvPr id="127" name="Shape 98">
            <a:extLst>
              <a:ext uri="{FF2B5EF4-FFF2-40B4-BE49-F238E27FC236}">
                <a16:creationId xmlns:a16="http://schemas.microsoft.com/office/drawing/2014/main" id="{E7EFCF2A-25DA-4B0D-824C-F794B2DD607C}"/>
              </a:ext>
            </a:extLst>
          </xdr:cNvPr>
          <xdr:cNvGrpSpPr/>
        </xdr:nvGrpSpPr>
        <xdr:grpSpPr>
          <a:xfrm>
            <a:off x="4965000" y="3732375"/>
            <a:ext cx="762000" cy="95250"/>
            <a:chOff x="4965000" y="3732375"/>
            <a:chExt cx="762000" cy="95250"/>
          </a:xfrm>
        </xdr:grpSpPr>
        <xdr:sp macro="" textlink="">
          <xdr:nvSpPr>
            <xdr:cNvPr id="128" name="Shape 4">
              <a:extLst>
                <a:ext uri="{FF2B5EF4-FFF2-40B4-BE49-F238E27FC236}">
                  <a16:creationId xmlns:a16="http://schemas.microsoft.com/office/drawing/2014/main" id="{38CB137E-B38B-4D87-809A-1614E87F1AEA}"/>
                </a:ext>
              </a:extLst>
            </xdr:cNvPr>
            <xdr:cNvSpPr/>
          </xdr:nvSpPr>
          <xdr:spPr>
            <a:xfrm>
              <a:off x="4965000" y="3732375"/>
              <a:ext cx="762000" cy="952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" name="Shape 99">
              <a:extLst>
                <a:ext uri="{FF2B5EF4-FFF2-40B4-BE49-F238E27FC236}">
                  <a16:creationId xmlns:a16="http://schemas.microsoft.com/office/drawing/2014/main" id="{6F193CC8-1817-4DA0-97B0-656ACF79551F}"/>
                </a:ext>
              </a:extLst>
            </xdr:cNvPr>
            <xdr:cNvGrpSpPr/>
          </xdr:nvGrpSpPr>
          <xdr:grpSpPr>
            <a:xfrm>
              <a:off x="4965000" y="3732375"/>
              <a:ext cx="762000" cy="95250"/>
              <a:chOff x="4965000" y="3732375"/>
              <a:chExt cx="762000" cy="95250"/>
            </a:xfrm>
          </xdr:grpSpPr>
          <xdr:sp macro="" textlink="">
            <xdr:nvSpPr>
              <xdr:cNvPr id="130" name="Shape 100">
                <a:extLst>
                  <a:ext uri="{FF2B5EF4-FFF2-40B4-BE49-F238E27FC236}">
                    <a16:creationId xmlns:a16="http://schemas.microsoft.com/office/drawing/2014/main" id="{E425E5E6-84C2-457D-BDA2-33B219E3C6E1}"/>
                  </a:ext>
                </a:extLst>
              </xdr:cNvPr>
              <xdr:cNvSpPr/>
            </xdr:nvSpPr>
            <xdr:spPr>
              <a:xfrm>
                <a:off x="4965000" y="3732375"/>
                <a:ext cx="762000" cy="952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" name="Shape 101">
                <a:extLst>
                  <a:ext uri="{FF2B5EF4-FFF2-40B4-BE49-F238E27FC236}">
                    <a16:creationId xmlns:a16="http://schemas.microsoft.com/office/drawing/2014/main" id="{F16A20DA-FA3C-456A-B0B7-F9CAAABB487C}"/>
                  </a:ext>
                </a:extLst>
              </xdr:cNvPr>
              <xdr:cNvGrpSpPr/>
            </xdr:nvGrpSpPr>
            <xdr:grpSpPr>
              <a:xfrm>
                <a:off x="4965000" y="3732375"/>
                <a:ext cx="762000" cy="95250"/>
                <a:chOff x="4979288" y="3741900"/>
                <a:chExt cx="733425" cy="76200"/>
              </a:xfrm>
            </xdr:grpSpPr>
            <xdr:sp macro="" textlink="">
              <xdr:nvSpPr>
                <xdr:cNvPr id="132" name="Shape 102">
                  <a:extLst>
                    <a:ext uri="{FF2B5EF4-FFF2-40B4-BE49-F238E27FC236}">
                      <a16:creationId xmlns:a16="http://schemas.microsoft.com/office/drawing/2014/main" id="{DA4856DE-4193-4899-B791-8AC2A93B2D68}"/>
                    </a:ext>
                  </a:extLst>
                </xdr:cNvPr>
                <xdr:cNvSpPr/>
              </xdr:nvSpPr>
              <xdr:spPr>
                <a:xfrm>
                  <a:off x="4979288" y="3741900"/>
                  <a:ext cx="733425" cy="76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" name="Shape 103">
                  <a:extLst>
                    <a:ext uri="{FF2B5EF4-FFF2-40B4-BE49-F238E27FC236}">
                      <a16:creationId xmlns:a16="http://schemas.microsoft.com/office/drawing/2014/main" id="{2753227C-6C7C-4659-BA4E-153E38EA7E13}"/>
                    </a:ext>
                  </a:extLst>
                </xdr:cNvPr>
                <xdr:cNvCxnSpPr/>
              </xdr:nvCxnSpPr>
              <xdr:spPr>
                <a:xfrm>
                  <a:off x="4979288" y="3741900"/>
                  <a:ext cx="733425" cy="762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dot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628650</xdr:colOff>
      <xdr:row>25</xdr:row>
      <xdr:rowOff>142875</xdr:rowOff>
    </xdr:from>
    <xdr:ext cx="2171700" cy="1733550"/>
    <xdr:sp macro="" textlink="">
      <xdr:nvSpPr>
        <xdr:cNvPr id="134" name="Shape 104">
          <a:extLst>
            <a:ext uri="{FF2B5EF4-FFF2-40B4-BE49-F238E27FC236}">
              <a16:creationId xmlns:a16="http://schemas.microsoft.com/office/drawing/2014/main" id="{ED42AC14-94AA-4DEA-AC71-361E4FB39FF8}"/>
            </a:ext>
          </a:extLst>
        </xdr:cNvPr>
        <xdr:cNvSpPr/>
      </xdr:nvSpPr>
      <xdr:spPr>
        <a:xfrm>
          <a:off x="8115300" y="4953000"/>
          <a:ext cx="2171700" cy="173355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0"/>
          <a:headEnd type="none" w="sm" len="sm"/>
          <a:tailEnd type="none" w="sm" len="sm"/>
        </a:ln>
      </xdr:spPr>
      <xdr:txBody>
        <a:bodyPr spcFirstLastPara="1" wrap="square" lIns="27425" tIns="18275" rIns="27425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PLONGE</a:t>
          </a:r>
          <a:endParaRPr sz="1100"/>
        </a:p>
      </xdr:txBody>
    </xdr:sp>
    <xdr:clientData fLocksWithSheet="0"/>
  </xdr:oneCellAnchor>
  <xdr:oneCellAnchor>
    <xdr:from>
      <xdr:col>13</xdr:col>
      <xdr:colOff>476250</xdr:colOff>
      <xdr:row>28</xdr:row>
      <xdr:rowOff>133350</xdr:rowOff>
    </xdr:from>
    <xdr:ext cx="1619250" cy="38100"/>
    <xdr:grpSp>
      <xdr:nvGrpSpPr>
        <xdr:cNvPr id="135" name="Shape 2">
          <a:extLst>
            <a:ext uri="{FF2B5EF4-FFF2-40B4-BE49-F238E27FC236}">
              <a16:creationId xmlns:a16="http://schemas.microsoft.com/office/drawing/2014/main" id="{759D1E97-9AC4-481C-87C0-D2F9A8D0CF1E}"/>
            </a:ext>
          </a:extLst>
        </xdr:cNvPr>
        <xdr:cNvGrpSpPr/>
      </xdr:nvGrpSpPr>
      <xdr:grpSpPr>
        <a:xfrm>
          <a:off x="10191750" y="5467350"/>
          <a:ext cx="1619250" cy="38100"/>
          <a:chOff x="4536375" y="3760950"/>
          <a:chExt cx="1619250" cy="38100"/>
        </a:xfrm>
      </xdr:grpSpPr>
      <xdr:grpSp>
        <xdr:nvGrpSpPr>
          <xdr:cNvPr id="136" name="Shape 105">
            <a:extLst>
              <a:ext uri="{FF2B5EF4-FFF2-40B4-BE49-F238E27FC236}">
                <a16:creationId xmlns:a16="http://schemas.microsoft.com/office/drawing/2014/main" id="{F112961D-ECA4-4C83-9422-4D15AF635767}"/>
              </a:ext>
            </a:extLst>
          </xdr:cNvPr>
          <xdr:cNvGrpSpPr/>
        </xdr:nvGrpSpPr>
        <xdr:grpSpPr>
          <a:xfrm>
            <a:off x="4536375" y="3760950"/>
            <a:ext cx="1619250" cy="38100"/>
            <a:chOff x="4536375" y="3760950"/>
            <a:chExt cx="1619250" cy="38100"/>
          </a:xfrm>
        </xdr:grpSpPr>
        <xdr:sp macro="" textlink="">
          <xdr:nvSpPr>
            <xdr:cNvPr id="137" name="Shape 4">
              <a:extLst>
                <a:ext uri="{FF2B5EF4-FFF2-40B4-BE49-F238E27FC236}">
                  <a16:creationId xmlns:a16="http://schemas.microsoft.com/office/drawing/2014/main" id="{E9D56BC4-044D-4C8D-AB89-996FB47AAEBD}"/>
                </a:ext>
              </a:extLst>
            </xdr:cNvPr>
            <xdr:cNvSpPr/>
          </xdr:nvSpPr>
          <xdr:spPr>
            <a:xfrm>
              <a:off x="4536375" y="3760950"/>
              <a:ext cx="16192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" name="Shape 106">
              <a:extLst>
                <a:ext uri="{FF2B5EF4-FFF2-40B4-BE49-F238E27FC236}">
                  <a16:creationId xmlns:a16="http://schemas.microsoft.com/office/drawing/2014/main" id="{C3FBDF5C-0E0C-4730-BE75-EF4EB9D20FC7}"/>
                </a:ext>
              </a:extLst>
            </xdr:cNvPr>
            <xdr:cNvGrpSpPr/>
          </xdr:nvGrpSpPr>
          <xdr:grpSpPr>
            <a:xfrm>
              <a:off x="4536375" y="3760950"/>
              <a:ext cx="1619250" cy="38100"/>
              <a:chOff x="4533461" y="3757141"/>
              <a:chExt cx="1625078" cy="45719"/>
            </a:xfrm>
          </xdr:grpSpPr>
          <xdr:sp macro="" textlink="">
            <xdr:nvSpPr>
              <xdr:cNvPr id="139" name="Shape 107">
                <a:extLst>
                  <a:ext uri="{FF2B5EF4-FFF2-40B4-BE49-F238E27FC236}">
                    <a16:creationId xmlns:a16="http://schemas.microsoft.com/office/drawing/2014/main" id="{5D762DDC-D09D-4E8A-A39A-8B9A4761D132}"/>
                  </a:ext>
                </a:extLst>
              </xdr:cNvPr>
              <xdr:cNvSpPr/>
            </xdr:nvSpPr>
            <xdr:spPr>
              <a:xfrm>
                <a:off x="4533461" y="3757141"/>
                <a:ext cx="1625075" cy="45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" name="Shape 108">
                <a:extLst>
                  <a:ext uri="{FF2B5EF4-FFF2-40B4-BE49-F238E27FC236}">
                    <a16:creationId xmlns:a16="http://schemas.microsoft.com/office/drawing/2014/main" id="{6F70E98F-F0C3-48BE-BD6E-0071BAFC10AB}"/>
                  </a:ext>
                </a:extLst>
              </xdr:cNvPr>
              <xdr:cNvGrpSpPr/>
            </xdr:nvGrpSpPr>
            <xdr:grpSpPr>
              <a:xfrm>
                <a:off x="4533461" y="3757141"/>
                <a:ext cx="1625078" cy="45719"/>
                <a:chOff x="3093338" y="3746663"/>
                <a:chExt cx="4505325" cy="66675"/>
              </a:xfrm>
            </xdr:grpSpPr>
            <xdr:sp macro="" textlink="">
              <xdr:nvSpPr>
                <xdr:cNvPr id="141" name="Shape 109">
                  <a:extLst>
                    <a:ext uri="{FF2B5EF4-FFF2-40B4-BE49-F238E27FC236}">
                      <a16:creationId xmlns:a16="http://schemas.microsoft.com/office/drawing/2014/main" id="{EB8873F9-8C3E-4050-A4F9-08203CEA76D0}"/>
                    </a:ext>
                  </a:extLst>
                </xdr:cNvPr>
                <xdr:cNvSpPr/>
              </xdr:nvSpPr>
              <xdr:spPr>
                <a:xfrm>
                  <a:off x="3093338" y="3746663"/>
                  <a:ext cx="4505325" cy="666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" name="Shape 110">
                  <a:extLst>
                    <a:ext uri="{FF2B5EF4-FFF2-40B4-BE49-F238E27FC236}">
                      <a16:creationId xmlns:a16="http://schemas.microsoft.com/office/drawing/2014/main" id="{F2C402CE-6298-4213-ACCF-0749AFFA89B7}"/>
                    </a:ext>
                  </a:extLst>
                </xdr:cNvPr>
                <xdr:cNvCxnSpPr/>
              </xdr:nvCxnSpPr>
              <xdr:spPr>
                <a:xfrm rot="10800000" flipH="1">
                  <a:off x="3093338" y="3746663"/>
                  <a:ext cx="4505325" cy="6667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95250</xdr:colOff>
      <xdr:row>31</xdr:row>
      <xdr:rowOff>19050</xdr:rowOff>
    </xdr:from>
    <xdr:ext cx="38100" cy="1133475"/>
    <xdr:grpSp>
      <xdr:nvGrpSpPr>
        <xdr:cNvPr id="143" name="Shape 2">
          <a:extLst>
            <a:ext uri="{FF2B5EF4-FFF2-40B4-BE49-F238E27FC236}">
              <a16:creationId xmlns:a16="http://schemas.microsoft.com/office/drawing/2014/main" id="{F185307A-4A9B-4A11-AEE4-EE1634D61D77}"/>
            </a:ext>
          </a:extLst>
        </xdr:cNvPr>
        <xdr:cNvGrpSpPr/>
      </xdr:nvGrpSpPr>
      <xdr:grpSpPr>
        <a:xfrm>
          <a:off x="7647214" y="5965371"/>
          <a:ext cx="38100" cy="1133475"/>
          <a:chOff x="5326950" y="3213263"/>
          <a:chExt cx="38100" cy="1133475"/>
        </a:xfrm>
      </xdr:grpSpPr>
      <xdr:grpSp>
        <xdr:nvGrpSpPr>
          <xdr:cNvPr id="144" name="Shape 111">
            <a:extLst>
              <a:ext uri="{FF2B5EF4-FFF2-40B4-BE49-F238E27FC236}">
                <a16:creationId xmlns:a16="http://schemas.microsoft.com/office/drawing/2014/main" id="{1F4865CA-6555-4D38-8D57-BA9BAD080F5C}"/>
              </a:ext>
            </a:extLst>
          </xdr:cNvPr>
          <xdr:cNvGrpSpPr/>
        </xdr:nvGrpSpPr>
        <xdr:grpSpPr>
          <a:xfrm>
            <a:off x="5326950" y="3213263"/>
            <a:ext cx="38100" cy="1133475"/>
            <a:chOff x="5323141" y="3213263"/>
            <a:chExt cx="45719" cy="1133475"/>
          </a:xfrm>
        </xdr:grpSpPr>
        <xdr:sp macro="" textlink="">
          <xdr:nvSpPr>
            <xdr:cNvPr id="145" name="Shape 4">
              <a:extLst>
                <a:ext uri="{FF2B5EF4-FFF2-40B4-BE49-F238E27FC236}">
                  <a16:creationId xmlns:a16="http://schemas.microsoft.com/office/drawing/2014/main" id="{875A1775-B27D-4BAB-B4F7-6032A56D6F51}"/>
                </a:ext>
              </a:extLst>
            </xdr:cNvPr>
            <xdr:cNvSpPr/>
          </xdr:nvSpPr>
          <xdr:spPr>
            <a:xfrm>
              <a:off x="5323141" y="3213263"/>
              <a:ext cx="45700" cy="1133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" name="Shape 112">
              <a:extLst>
                <a:ext uri="{FF2B5EF4-FFF2-40B4-BE49-F238E27FC236}">
                  <a16:creationId xmlns:a16="http://schemas.microsoft.com/office/drawing/2014/main" id="{49364B6B-D18E-4F07-9955-3AB6474C7C8A}"/>
                </a:ext>
              </a:extLst>
            </xdr:cNvPr>
            <xdr:cNvGrpSpPr/>
          </xdr:nvGrpSpPr>
          <xdr:grpSpPr>
            <a:xfrm>
              <a:off x="5323141" y="3213263"/>
              <a:ext cx="45719" cy="1133475"/>
              <a:chOff x="5326950" y="2689388"/>
              <a:chExt cx="38100" cy="2181225"/>
            </a:xfrm>
          </xdr:grpSpPr>
          <xdr:sp macro="" textlink="">
            <xdr:nvSpPr>
              <xdr:cNvPr id="147" name="Shape 113">
                <a:extLst>
                  <a:ext uri="{FF2B5EF4-FFF2-40B4-BE49-F238E27FC236}">
                    <a16:creationId xmlns:a16="http://schemas.microsoft.com/office/drawing/2014/main" id="{514FFAD3-2DAD-4009-AB7F-DC639711731A}"/>
                  </a:ext>
                </a:extLst>
              </xdr:cNvPr>
              <xdr:cNvSpPr/>
            </xdr:nvSpPr>
            <xdr:spPr>
              <a:xfrm>
                <a:off x="5326950" y="2689388"/>
                <a:ext cx="38100" cy="2181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" name="Shape 114">
                <a:extLst>
                  <a:ext uri="{FF2B5EF4-FFF2-40B4-BE49-F238E27FC236}">
                    <a16:creationId xmlns:a16="http://schemas.microsoft.com/office/drawing/2014/main" id="{BFE44EC8-53E6-4166-872C-0C31EC061718}"/>
                  </a:ext>
                </a:extLst>
              </xdr:cNvPr>
              <xdr:cNvGrpSpPr/>
            </xdr:nvGrpSpPr>
            <xdr:grpSpPr>
              <a:xfrm>
                <a:off x="5326950" y="2689388"/>
                <a:ext cx="38100" cy="2181225"/>
                <a:chOff x="5341238" y="2689388"/>
                <a:chExt cx="9525" cy="2181225"/>
              </a:xfrm>
            </xdr:grpSpPr>
            <xdr:sp macro="" textlink="">
              <xdr:nvSpPr>
                <xdr:cNvPr id="149" name="Shape 115">
                  <a:extLst>
                    <a:ext uri="{FF2B5EF4-FFF2-40B4-BE49-F238E27FC236}">
                      <a16:creationId xmlns:a16="http://schemas.microsoft.com/office/drawing/2014/main" id="{9BE3FA64-78BB-43BC-BE6D-97210200F8AC}"/>
                    </a:ext>
                  </a:extLst>
                </xdr:cNvPr>
                <xdr:cNvSpPr/>
              </xdr:nvSpPr>
              <xdr:spPr>
                <a:xfrm>
                  <a:off x="5341238" y="2689388"/>
                  <a:ext cx="9525" cy="21812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" name="Shape 116">
                  <a:extLst>
                    <a:ext uri="{FF2B5EF4-FFF2-40B4-BE49-F238E27FC236}">
                      <a16:creationId xmlns:a16="http://schemas.microsoft.com/office/drawing/2014/main" id="{502D9EB4-8BEE-4CEC-873F-FD4FA8281E44}"/>
                    </a:ext>
                  </a:extLst>
                </xdr:cNvPr>
                <xdr:cNvCxnSpPr/>
              </xdr:nvCxnSpPr>
              <xdr:spPr>
                <a:xfrm>
                  <a:off x="5341238" y="2689388"/>
                  <a:ext cx="9525" cy="2181225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dot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323850</xdr:colOff>
      <xdr:row>21</xdr:row>
      <xdr:rowOff>190500</xdr:rowOff>
    </xdr:from>
    <xdr:ext cx="76200" cy="1447800"/>
    <xdr:grpSp>
      <xdr:nvGrpSpPr>
        <xdr:cNvPr id="151" name="Shape 2">
          <a:extLst>
            <a:ext uri="{FF2B5EF4-FFF2-40B4-BE49-F238E27FC236}">
              <a16:creationId xmlns:a16="http://schemas.microsoft.com/office/drawing/2014/main" id="{B6E39551-3219-42D2-A873-02EFB1EBE3AC}"/>
            </a:ext>
          </a:extLst>
        </xdr:cNvPr>
        <xdr:cNvGrpSpPr/>
      </xdr:nvGrpSpPr>
      <xdr:grpSpPr>
        <a:xfrm>
          <a:off x="10760529" y="4095750"/>
          <a:ext cx="76200" cy="1447800"/>
          <a:chOff x="5307900" y="3056100"/>
          <a:chExt cx="76200" cy="1447800"/>
        </a:xfrm>
      </xdr:grpSpPr>
      <xdr:grpSp>
        <xdr:nvGrpSpPr>
          <xdr:cNvPr id="152" name="Shape 117">
            <a:extLst>
              <a:ext uri="{FF2B5EF4-FFF2-40B4-BE49-F238E27FC236}">
                <a16:creationId xmlns:a16="http://schemas.microsoft.com/office/drawing/2014/main" id="{7998CEEF-3C73-4261-9FF2-A457F7A79535}"/>
              </a:ext>
            </a:extLst>
          </xdr:cNvPr>
          <xdr:cNvGrpSpPr/>
        </xdr:nvGrpSpPr>
        <xdr:grpSpPr>
          <a:xfrm>
            <a:off x="5307900" y="3056100"/>
            <a:ext cx="76200" cy="1447800"/>
            <a:chOff x="5307900" y="3056100"/>
            <a:chExt cx="76200" cy="1447800"/>
          </a:xfrm>
        </xdr:grpSpPr>
        <xdr:sp macro="" textlink="">
          <xdr:nvSpPr>
            <xdr:cNvPr id="153" name="Shape 4">
              <a:extLst>
                <a:ext uri="{FF2B5EF4-FFF2-40B4-BE49-F238E27FC236}">
                  <a16:creationId xmlns:a16="http://schemas.microsoft.com/office/drawing/2014/main" id="{36273815-3667-4EA3-83A5-8623631B2292}"/>
                </a:ext>
              </a:extLst>
            </xdr:cNvPr>
            <xdr:cNvSpPr/>
          </xdr:nvSpPr>
          <xdr:spPr>
            <a:xfrm>
              <a:off x="5307900" y="3056100"/>
              <a:ext cx="76200" cy="1447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" name="Shape 118">
              <a:extLst>
                <a:ext uri="{FF2B5EF4-FFF2-40B4-BE49-F238E27FC236}">
                  <a16:creationId xmlns:a16="http://schemas.microsoft.com/office/drawing/2014/main" id="{1C339F75-0FCE-4051-BEE5-6FC78367B34D}"/>
                </a:ext>
              </a:extLst>
            </xdr:cNvPr>
            <xdr:cNvGrpSpPr/>
          </xdr:nvGrpSpPr>
          <xdr:grpSpPr>
            <a:xfrm>
              <a:off x="5307900" y="3056100"/>
              <a:ext cx="76200" cy="1447800"/>
              <a:chOff x="5326950" y="2689388"/>
              <a:chExt cx="38100" cy="2181225"/>
            </a:xfrm>
          </xdr:grpSpPr>
          <xdr:sp macro="" textlink="">
            <xdr:nvSpPr>
              <xdr:cNvPr id="155" name="Shape 119">
                <a:extLst>
                  <a:ext uri="{FF2B5EF4-FFF2-40B4-BE49-F238E27FC236}">
                    <a16:creationId xmlns:a16="http://schemas.microsoft.com/office/drawing/2014/main" id="{69715E85-E5DC-4139-9EB4-9A99E9358252}"/>
                  </a:ext>
                </a:extLst>
              </xdr:cNvPr>
              <xdr:cNvSpPr/>
            </xdr:nvSpPr>
            <xdr:spPr>
              <a:xfrm>
                <a:off x="5326950" y="2689388"/>
                <a:ext cx="38100" cy="2181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6" name="Shape 120">
                <a:extLst>
                  <a:ext uri="{FF2B5EF4-FFF2-40B4-BE49-F238E27FC236}">
                    <a16:creationId xmlns:a16="http://schemas.microsoft.com/office/drawing/2014/main" id="{BF1C4D19-7801-4638-97D0-238A495F9474}"/>
                  </a:ext>
                </a:extLst>
              </xdr:cNvPr>
              <xdr:cNvGrpSpPr/>
            </xdr:nvGrpSpPr>
            <xdr:grpSpPr>
              <a:xfrm>
                <a:off x="5326950" y="2689388"/>
                <a:ext cx="38100" cy="2181225"/>
                <a:chOff x="5341238" y="2689388"/>
                <a:chExt cx="9525" cy="2181225"/>
              </a:xfrm>
            </xdr:grpSpPr>
            <xdr:sp macro="" textlink="">
              <xdr:nvSpPr>
                <xdr:cNvPr id="157" name="Shape 121">
                  <a:extLst>
                    <a:ext uri="{FF2B5EF4-FFF2-40B4-BE49-F238E27FC236}">
                      <a16:creationId xmlns:a16="http://schemas.microsoft.com/office/drawing/2014/main" id="{1E1538F9-33DB-4224-8E4C-C1D06CD09F61}"/>
                    </a:ext>
                  </a:extLst>
                </xdr:cNvPr>
                <xdr:cNvSpPr/>
              </xdr:nvSpPr>
              <xdr:spPr>
                <a:xfrm>
                  <a:off x="5341238" y="2689388"/>
                  <a:ext cx="9525" cy="21812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" name="Shape 122">
                  <a:extLst>
                    <a:ext uri="{FF2B5EF4-FFF2-40B4-BE49-F238E27FC236}">
                      <a16:creationId xmlns:a16="http://schemas.microsoft.com/office/drawing/2014/main" id="{5597FF99-B4CD-4083-8857-5EEBFFF282A1}"/>
                    </a:ext>
                  </a:extLst>
                </xdr:cNvPr>
                <xdr:cNvCxnSpPr/>
              </xdr:nvCxnSpPr>
              <xdr:spPr>
                <a:xfrm>
                  <a:off x="5341238" y="2689388"/>
                  <a:ext cx="9525" cy="2181225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dot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114300</xdr:colOff>
      <xdr:row>108</xdr:row>
      <xdr:rowOff>19050</xdr:rowOff>
    </xdr:from>
    <xdr:ext cx="152400" cy="1181100"/>
    <xdr:grpSp>
      <xdr:nvGrpSpPr>
        <xdr:cNvPr id="159" name="Shape 2">
          <a:extLst>
            <a:ext uri="{FF2B5EF4-FFF2-40B4-BE49-F238E27FC236}">
              <a16:creationId xmlns:a16="http://schemas.microsoft.com/office/drawing/2014/main" id="{2070AD0A-B074-4C14-8B36-09663F72439B}"/>
            </a:ext>
          </a:extLst>
        </xdr:cNvPr>
        <xdr:cNvGrpSpPr/>
      </xdr:nvGrpSpPr>
      <xdr:grpSpPr>
        <a:xfrm>
          <a:off x="11408229" y="21681621"/>
          <a:ext cx="152400" cy="1181100"/>
          <a:chOff x="5269800" y="3189450"/>
          <a:chExt cx="152400" cy="1181100"/>
        </a:xfrm>
      </xdr:grpSpPr>
      <xdr:grpSp>
        <xdr:nvGrpSpPr>
          <xdr:cNvPr id="160" name="Shape 123">
            <a:extLst>
              <a:ext uri="{FF2B5EF4-FFF2-40B4-BE49-F238E27FC236}">
                <a16:creationId xmlns:a16="http://schemas.microsoft.com/office/drawing/2014/main" id="{F8EC3A03-118E-4214-8D69-B5A1C7EEAB7C}"/>
              </a:ext>
            </a:extLst>
          </xdr:cNvPr>
          <xdr:cNvGrpSpPr/>
        </xdr:nvGrpSpPr>
        <xdr:grpSpPr>
          <a:xfrm>
            <a:off x="5269800" y="3189450"/>
            <a:ext cx="152400" cy="1181100"/>
            <a:chOff x="5267559" y="3186929"/>
            <a:chExt cx="156882" cy="1186143"/>
          </a:xfrm>
        </xdr:grpSpPr>
        <xdr:sp macro="" textlink="">
          <xdr:nvSpPr>
            <xdr:cNvPr id="161" name="Shape 4">
              <a:extLst>
                <a:ext uri="{FF2B5EF4-FFF2-40B4-BE49-F238E27FC236}">
                  <a16:creationId xmlns:a16="http://schemas.microsoft.com/office/drawing/2014/main" id="{7B38F121-DBE7-465E-98FC-E73572F4748D}"/>
                </a:ext>
              </a:extLst>
            </xdr:cNvPr>
            <xdr:cNvSpPr/>
          </xdr:nvSpPr>
          <xdr:spPr>
            <a:xfrm>
              <a:off x="5267559" y="3186929"/>
              <a:ext cx="156875" cy="1186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" name="Shape 124">
              <a:extLst>
                <a:ext uri="{FF2B5EF4-FFF2-40B4-BE49-F238E27FC236}">
                  <a16:creationId xmlns:a16="http://schemas.microsoft.com/office/drawing/2014/main" id="{3ED31BC0-4992-48F4-BB18-2796A6DC810C}"/>
                </a:ext>
              </a:extLst>
            </xdr:cNvPr>
            <xdr:cNvGrpSpPr/>
          </xdr:nvGrpSpPr>
          <xdr:grpSpPr>
            <a:xfrm>
              <a:off x="5267559" y="3186929"/>
              <a:ext cx="156882" cy="1186143"/>
              <a:chOff x="4203000" y="3765713"/>
              <a:chExt cx="2286000" cy="28575"/>
            </a:xfrm>
          </xdr:grpSpPr>
          <xdr:sp macro="" textlink="">
            <xdr:nvSpPr>
              <xdr:cNvPr id="163" name="Shape 125">
                <a:extLst>
                  <a:ext uri="{FF2B5EF4-FFF2-40B4-BE49-F238E27FC236}">
                    <a16:creationId xmlns:a16="http://schemas.microsoft.com/office/drawing/2014/main" id="{D7743BF3-F786-44D1-86E7-98B0C00A698D}"/>
                  </a:ext>
                </a:extLst>
              </xdr:cNvPr>
              <xdr:cNvSpPr/>
            </xdr:nvSpPr>
            <xdr:spPr>
              <a:xfrm>
                <a:off x="4203000" y="3765713"/>
                <a:ext cx="22860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" name="Shape 126">
                <a:extLst>
                  <a:ext uri="{FF2B5EF4-FFF2-40B4-BE49-F238E27FC236}">
                    <a16:creationId xmlns:a16="http://schemas.microsoft.com/office/drawing/2014/main" id="{6BDC026D-467C-4EB9-8885-5F1AAE46E0E8}"/>
                  </a:ext>
                </a:extLst>
              </xdr:cNvPr>
              <xdr:cNvGrpSpPr/>
            </xdr:nvGrpSpPr>
            <xdr:grpSpPr>
              <a:xfrm>
                <a:off x="4203000" y="3765713"/>
                <a:ext cx="2286000" cy="28575"/>
                <a:chOff x="4203000" y="3775238"/>
                <a:chExt cx="2286000" cy="9525"/>
              </a:xfrm>
            </xdr:grpSpPr>
            <xdr:sp macro="" textlink="">
              <xdr:nvSpPr>
                <xdr:cNvPr id="165" name="Shape 127">
                  <a:extLst>
                    <a:ext uri="{FF2B5EF4-FFF2-40B4-BE49-F238E27FC236}">
                      <a16:creationId xmlns:a16="http://schemas.microsoft.com/office/drawing/2014/main" id="{52AD3528-C3AD-405B-8CC4-50A1F02BA96E}"/>
                    </a:ext>
                  </a:extLst>
                </xdr:cNvPr>
                <xdr:cNvSpPr/>
              </xdr:nvSpPr>
              <xdr:spPr>
                <a:xfrm>
                  <a:off x="4203000" y="3775238"/>
                  <a:ext cx="2286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" name="Shape 128">
                  <a:extLst>
                    <a:ext uri="{FF2B5EF4-FFF2-40B4-BE49-F238E27FC236}">
                      <a16:creationId xmlns:a16="http://schemas.microsoft.com/office/drawing/2014/main" id="{19FEF758-1768-4EFA-B694-E438B84D13E0}"/>
                    </a:ext>
                  </a:extLst>
                </xdr:cNvPr>
                <xdr:cNvCxnSpPr/>
              </xdr:nvCxnSpPr>
              <xdr:spPr>
                <a:xfrm rot="10800000">
                  <a:off x="4203000" y="3775238"/>
                  <a:ext cx="2286000" cy="9525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dot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76200</xdr:colOff>
      <xdr:row>107</xdr:row>
      <xdr:rowOff>190500</xdr:rowOff>
    </xdr:from>
    <xdr:ext cx="152400" cy="1181100"/>
    <xdr:grpSp>
      <xdr:nvGrpSpPr>
        <xdr:cNvPr id="167" name="Shape 2">
          <a:extLst>
            <a:ext uri="{FF2B5EF4-FFF2-40B4-BE49-F238E27FC236}">
              <a16:creationId xmlns:a16="http://schemas.microsoft.com/office/drawing/2014/main" id="{91FED324-C98D-460C-9633-453047B4FEFD}"/>
            </a:ext>
          </a:extLst>
        </xdr:cNvPr>
        <xdr:cNvGrpSpPr/>
      </xdr:nvGrpSpPr>
      <xdr:grpSpPr>
        <a:xfrm>
          <a:off x="16418379" y="21648964"/>
          <a:ext cx="152400" cy="1181100"/>
          <a:chOff x="5269800" y="3189450"/>
          <a:chExt cx="152400" cy="1181100"/>
        </a:xfrm>
      </xdr:grpSpPr>
      <xdr:grpSp>
        <xdr:nvGrpSpPr>
          <xdr:cNvPr id="168" name="Shape 129">
            <a:extLst>
              <a:ext uri="{FF2B5EF4-FFF2-40B4-BE49-F238E27FC236}">
                <a16:creationId xmlns:a16="http://schemas.microsoft.com/office/drawing/2014/main" id="{55A899C7-EB17-477E-BFAE-F364872B3B9B}"/>
              </a:ext>
            </a:extLst>
          </xdr:cNvPr>
          <xdr:cNvGrpSpPr/>
        </xdr:nvGrpSpPr>
        <xdr:grpSpPr>
          <a:xfrm>
            <a:off x="5269800" y="3189450"/>
            <a:ext cx="152400" cy="1181100"/>
            <a:chOff x="5267559" y="3186929"/>
            <a:chExt cx="156882" cy="1186143"/>
          </a:xfrm>
        </xdr:grpSpPr>
        <xdr:sp macro="" textlink="">
          <xdr:nvSpPr>
            <xdr:cNvPr id="169" name="Shape 4">
              <a:extLst>
                <a:ext uri="{FF2B5EF4-FFF2-40B4-BE49-F238E27FC236}">
                  <a16:creationId xmlns:a16="http://schemas.microsoft.com/office/drawing/2014/main" id="{C4626895-D293-48ED-A436-8663FDAC3A7F}"/>
                </a:ext>
              </a:extLst>
            </xdr:cNvPr>
            <xdr:cNvSpPr/>
          </xdr:nvSpPr>
          <xdr:spPr>
            <a:xfrm>
              <a:off x="5267559" y="3186929"/>
              <a:ext cx="156875" cy="1186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" name="Shape 130">
              <a:extLst>
                <a:ext uri="{FF2B5EF4-FFF2-40B4-BE49-F238E27FC236}">
                  <a16:creationId xmlns:a16="http://schemas.microsoft.com/office/drawing/2014/main" id="{2D9EA6A2-8FE6-4614-B069-8F0FD74B2A9D}"/>
                </a:ext>
              </a:extLst>
            </xdr:cNvPr>
            <xdr:cNvGrpSpPr/>
          </xdr:nvGrpSpPr>
          <xdr:grpSpPr>
            <a:xfrm>
              <a:off x="5267559" y="3186929"/>
              <a:ext cx="156882" cy="1186143"/>
              <a:chOff x="4203000" y="3765713"/>
              <a:chExt cx="2286000" cy="28575"/>
            </a:xfrm>
          </xdr:grpSpPr>
          <xdr:sp macro="" textlink="">
            <xdr:nvSpPr>
              <xdr:cNvPr id="171" name="Shape 131">
                <a:extLst>
                  <a:ext uri="{FF2B5EF4-FFF2-40B4-BE49-F238E27FC236}">
                    <a16:creationId xmlns:a16="http://schemas.microsoft.com/office/drawing/2014/main" id="{14A4E18A-24D0-499F-B04B-0091EA11A61B}"/>
                  </a:ext>
                </a:extLst>
              </xdr:cNvPr>
              <xdr:cNvSpPr/>
            </xdr:nvSpPr>
            <xdr:spPr>
              <a:xfrm>
                <a:off x="4203000" y="3765713"/>
                <a:ext cx="22860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" name="Shape 132">
                <a:extLst>
                  <a:ext uri="{FF2B5EF4-FFF2-40B4-BE49-F238E27FC236}">
                    <a16:creationId xmlns:a16="http://schemas.microsoft.com/office/drawing/2014/main" id="{CE886F3F-8C97-4568-9191-2340D1A71BB5}"/>
                  </a:ext>
                </a:extLst>
              </xdr:cNvPr>
              <xdr:cNvGrpSpPr/>
            </xdr:nvGrpSpPr>
            <xdr:grpSpPr>
              <a:xfrm>
                <a:off x="4203000" y="3765713"/>
                <a:ext cx="2286000" cy="28575"/>
                <a:chOff x="4203000" y="3775238"/>
                <a:chExt cx="2286000" cy="9525"/>
              </a:xfrm>
            </xdr:grpSpPr>
            <xdr:sp macro="" textlink="">
              <xdr:nvSpPr>
                <xdr:cNvPr id="173" name="Shape 133">
                  <a:extLst>
                    <a:ext uri="{FF2B5EF4-FFF2-40B4-BE49-F238E27FC236}">
                      <a16:creationId xmlns:a16="http://schemas.microsoft.com/office/drawing/2014/main" id="{2FE98FD8-CAF0-410F-A178-BAEE6070C48D}"/>
                    </a:ext>
                  </a:extLst>
                </xdr:cNvPr>
                <xdr:cNvSpPr/>
              </xdr:nvSpPr>
              <xdr:spPr>
                <a:xfrm>
                  <a:off x="4203000" y="3775238"/>
                  <a:ext cx="2286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4" name="Shape 134">
                  <a:extLst>
                    <a:ext uri="{FF2B5EF4-FFF2-40B4-BE49-F238E27FC236}">
                      <a16:creationId xmlns:a16="http://schemas.microsoft.com/office/drawing/2014/main" id="{E353BA86-08F9-4818-9E4B-6B49DCD65F59}"/>
                    </a:ext>
                  </a:extLst>
                </xdr:cNvPr>
                <xdr:cNvCxnSpPr/>
              </xdr:nvCxnSpPr>
              <xdr:spPr>
                <a:xfrm rot="10800000">
                  <a:off x="4203000" y="3775238"/>
                  <a:ext cx="2286000" cy="9525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dot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304800</xdr:colOff>
      <xdr:row>69</xdr:row>
      <xdr:rowOff>104775</xdr:rowOff>
    </xdr:from>
    <xdr:ext cx="1847850" cy="142875"/>
    <xdr:grpSp>
      <xdr:nvGrpSpPr>
        <xdr:cNvPr id="175" name="Shape 2">
          <a:extLst>
            <a:ext uri="{FF2B5EF4-FFF2-40B4-BE49-F238E27FC236}">
              <a16:creationId xmlns:a16="http://schemas.microsoft.com/office/drawing/2014/main" id="{6D1F5014-0495-4561-BDF2-6010AE9F17C2}"/>
            </a:ext>
          </a:extLst>
        </xdr:cNvPr>
        <xdr:cNvGrpSpPr/>
      </xdr:nvGrpSpPr>
      <xdr:grpSpPr>
        <a:xfrm>
          <a:off x="13041086" y="13807168"/>
          <a:ext cx="1847850" cy="142875"/>
          <a:chOff x="4422075" y="3708563"/>
          <a:chExt cx="1847850" cy="142875"/>
        </a:xfrm>
      </xdr:grpSpPr>
      <xdr:grpSp>
        <xdr:nvGrpSpPr>
          <xdr:cNvPr id="176" name="Shape 135">
            <a:extLst>
              <a:ext uri="{FF2B5EF4-FFF2-40B4-BE49-F238E27FC236}">
                <a16:creationId xmlns:a16="http://schemas.microsoft.com/office/drawing/2014/main" id="{17757470-D9A5-43D3-AA90-A3EF5652B0EE}"/>
              </a:ext>
            </a:extLst>
          </xdr:cNvPr>
          <xdr:cNvGrpSpPr/>
        </xdr:nvGrpSpPr>
        <xdr:grpSpPr>
          <a:xfrm>
            <a:off x="4422075" y="3708563"/>
            <a:ext cx="1847850" cy="142875"/>
            <a:chOff x="4421515" y="3707162"/>
            <a:chExt cx="1848970" cy="145677"/>
          </a:xfrm>
        </xdr:grpSpPr>
        <xdr:sp macro="" textlink="">
          <xdr:nvSpPr>
            <xdr:cNvPr id="177" name="Shape 4">
              <a:extLst>
                <a:ext uri="{FF2B5EF4-FFF2-40B4-BE49-F238E27FC236}">
                  <a16:creationId xmlns:a16="http://schemas.microsoft.com/office/drawing/2014/main" id="{E0459CE9-B9E4-47A8-A127-147F0303C61E}"/>
                </a:ext>
              </a:extLst>
            </xdr:cNvPr>
            <xdr:cNvSpPr/>
          </xdr:nvSpPr>
          <xdr:spPr>
            <a:xfrm>
              <a:off x="4421515" y="3707162"/>
              <a:ext cx="1848950" cy="1456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" name="Shape 136">
              <a:extLst>
                <a:ext uri="{FF2B5EF4-FFF2-40B4-BE49-F238E27FC236}">
                  <a16:creationId xmlns:a16="http://schemas.microsoft.com/office/drawing/2014/main" id="{2ECE8A56-C550-4330-8A88-1CA70AEF3696}"/>
                </a:ext>
              </a:extLst>
            </xdr:cNvPr>
            <xdr:cNvGrpSpPr/>
          </xdr:nvGrpSpPr>
          <xdr:grpSpPr>
            <a:xfrm>
              <a:off x="4421515" y="3707162"/>
              <a:ext cx="1848970" cy="145677"/>
              <a:chOff x="4203000" y="3765713"/>
              <a:chExt cx="2286000" cy="28575"/>
            </a:xfrm>
          </xdr:grpSpPr>
          <xdr:sp macro="" textlink="">
            <xdr:nvSpPr>
              <xdr:cNvPr id="179" name="Shape 137">
                <a:extLst>
                  <a:ext uri="{FF2B5EF4-FFF2-40B4-BE49-F238E27FC236}">
                    <a16:creationId xmlns:a16="http://schemas.microsoft.com/office/drawing/2014/main" id="{0F67F585-3991-4A03-A199-ABEEB3D1238E}"/>
                  </a:ext>
                </a:extLst>
              </xdr:cNvPr>
              <xdr:cNvSpPr/>
            </xdr:nvSpPr>
            <xdr:spPr>
              <a:xfrm>
                <a:off x="4203000" y="3765713"/>
                <a:ext cx="22860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" name="Shape 138">
                <a:extLst>
                  <a:ext uri="{FF2B5EF4-FFF2-40B4-BE49-F238E27FC236}">
                    <a16:creationId xmlns:a16="http://schemas.microsoft.com/office/drawing/2014/main" id="{6A198765-60DC-4081-94D4-C380AF6104B4}"/>
                  </a:ext>
                </a:extLst>
              </xdr:cNvPr>
              <xdr:cNvGrpSpPr/>
            </xdr:nvGrpSpPr>
            <xdr:grpSpPr>
              <a:xfrm>
                <a:off x="4203000" y="3765713"/>
                <a:ext cx="2286000" cy="28575"/>
                <a:chOff x="4203000" y="3775238"/>
                <a:chExt cx="2286000" cy="9525"/>
              </a:xfrm>
            </xdr:grpSpPr>
            <xdr:sp macro="" textlink="">
              <xdr:nvSpPr>
                <xdr:cNvPr id="181" name="Shape 139">
                  <a:extLst>
                    <a:ext uri="{FF2B5EF4-FFF2-40B4-BE49-F238E27FC236}">
                      <a16:creationId xmlns:a16="http://schemas.microsoft.com/office/drawing/2014/main" id="{297E3F69-9CD6-457A-AD68-3D1ED0E044C6}"/>
                    </a:ext>
                  </a:extLst>
                </xdr:cNvPr>
                <xdr:cNvSpPr/>
              </xdr:nvSpPr>
              <xdr:spPr>
                <a:xfrm>
                  <a:off x="4203000" y="3775238"/>
                  <a:ext cx="2286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" name="Shape 140">
                  <a:extLst>
                    <a:ext uri="{FF2B5EF4-FFF2-40B4-BE49-F238E27FC236}">
                      <a16:creationId xmlns:a16="http://schemas.microsoft.com/office/drawing/2014/main" id="{E5EA6606-C888-4FC3-8672-CED01B2F7A2E}"/>
                    </a:ext>
                  </a:extLst>
                </xdr:cNvPr>
                <xdr:cNvCxnSpPr/>
              </xdr:nvCxnSpPr>
              <xdr:spPr>
                <a:xfrm rot="10800000">
                  <a:off x="4203000" y="3775238"/>
                  <a:ext cx="2286000" cy="9525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dot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266700</xdr:colOff>
      <xdr:row>39</xdr:row>
      <xdr:rowOff>161925</xdr:rowOff>
    </xdr:from>
    <xdr:ext cx="1847850" cy="142875"/>
    <xdr:grpSp>
      <xdr:nvGrpSpPr>
        <xdr:cNvPr id="183" name="Shape 2">
          <a:extLst>
            <a:ext uri="{FF2B5EF4-FFF2-40B4-BE49-F238E27FC236}">
              <a16:creationId xmlns:a16="http://schemas.microsoft.com/office/drawing/2014/main" id="{20C528E3-4162-4DD2-BDC8-F37D779B3297}"/>
            </a:ext>
          </a:extLst>
        </xdr:cNvPr>
        <xdr:cNvGrpSpPr/>
      </xdr:nvGrpSpPr>
      <xdr:grpSpPr>
        <a:xfrm>
          <a:off x="13002986" y="7741104"/>
          <a:ext cx="1847850" cy="142875"/>
          <a:chOff x="4422075" y="3708563"/>
          <a:chExt cx="1847850" cy="142875"/>
        </a:xfrm>
      </xdr:grpSpPr>
      <xdr:grpSp>
        <xdr:nvGrpSpPr>
          <xdr:cNvPr id="184" name="Shape 141">
            <a:extLst>
              <a:ext uri="{FF2B5EF4-FFF2-40B4-BE49-F238E27FC236}">
                <a16:creationId xmlns:a16="http://schemas.microsoft.com/office/drawing/2014/main" id="{9FFEE31D-AD04-4A25-AFC7-27EE9AFCBA56}"/>
              </a:ext>
            </a:extLst>
          </xdr:cNvPr>
          <xdr:cNvGrpSpPr/>
        </xdr:nvGrpSpPr>
        <xdr:grpSpPr>
          <a:xfrm>
            <a:off x="4422075" y="3708563"/>
            <a:ext cx="1847850" cy="142875"/>
            <a:chOff x="4421515" y="3707162"/>
            <a:chExt cx="1848970" cy="145677"/>
          </a:xfrm>
        </xdr:grpSpPr>
        <xdr:sp macro="" textlink="">
          <xdr:nvSpPr>
            <xdr:cNvPr id="185" name="Shape 4">
              <a:extLst>
                <a:ext uri="{FF2B5EF4-FFF2-40B4-BE49-F238E27FC236}">
                  <a16:creationId xmlns:a16="http://schemas.microsoft.com/office/drawing/2014/main" id="{7C5CDF6D-3795-492D-A243-F555F98AB42C}"/>
                </a:ext>
              </a:extLst>
            </xdr:cNvPr>
            <xdr:cNvSpPr/>
          </xdr:nvSpPr>
          <xdr:spPr>
            <a:xfrm>
              <a:off x="4421515" y="3707162"/>
              <a:ext cx="1848950" cy="1456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6" name="Shape 142">
              <a:extLst>
                <a:ext uri="{FF2B5EF4-FFF2-40B4-BE49-F238E27FC236}">
                  <a16:creationId xmlns:a16="http://schemas.microsoft.com/office/drawing/2014/main" id="{4250866A-193A-474D-B35D-6A6444C60410}"/>
                </a:ext>
              </a:extLst>
            </xdr:cNvPr>
            <xdr:cNvGrpSpPr/>
          </xdr:nvGrpSpPr>
          <xdr:grpSpPr>
            <a:xfrm>
              <a:off x="4421515" y="3707162"/>
              <a:ext cx="1848970" cy="145677"/>
              <a:chOff x="4203000" y="3765713"/>
              <a:chExt cx="2286000" cy="28575"/>
            </a:xfrm>
          </xdr:grpSpPr>
          <xdr:sp macro="" textlink="">
            <xdr:nvSpPr>
              <xdr:cNvPr id="187" name="Shape 143">
                <a:extLst>
                  <a:ext uri="{FF2B5EF4-FFF2-40B4-BE49-F238E27FC236}">
                    <a16:creationId xmlns:a16="http://schemas.microsoft.com/office/drawing/2014/main" id="{02AE41DA-0AD4-46A9-AEDA-6F454B614395}"/>
                  </a:ext>
                </a:extLst>
              </xdr:cNvPr>
              <xdr:cNvSpPr/>
            </xdr:nvSpPr>
            <xdr:spPr>
              <a:xfrm>
                <a:off x="4203000" y="3765713"/>
                <a:ext cx="22860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" name="Shape 144">
                <a:extLst>
                  <a:ext uri="{FF2B5EF4-FFF2-40B4-BE49-F238E27FC236}">
                    <a16:creationId xmlns:a16="http://schemas.microsoft.com/office/drawing/2014/main" id="{3464DB59-AFFD-4390-B730-C979C8651360}"/>
                  </a:ext>
                </a:extLst>
              </xdr:cNvPr>
              <xdr:cNvGrpSpPr/>
            </xdr:nvGrpSpPr>
            <xdr:grpSpPr>
              <a:xfrm>
                <a:off x="4203000" y="3765713"/>
                <a:ext cx="2286000" cy="28575"/>
                <a:chOff x="4203000" y="3775238"/>
                <a:chExt cx="2286000" cy="9525"/>
              </a:xfrm>
            </xdr:grpSpPr>
            <xdr:sp macro="" textlink="">
              <xdr:nvSpPr>
                <xdr:cNvPr id="189" name="Shape 145">
                  <a:extLst>
                    <a:ext uri="{FF2B5EF4-FFF2-40B4-BE49-F238E27FC236}">
                      <a16:creationId xmlns:a16="http://schemas.microsoft.com/office/drawing/2014/main" id="{0B6068C3-6B76-4C39-AE66-F50975C59220}"/>
                    </a:ext>
                  </a:extLst>
                </xdr:cNvPr>
                <xdr:cNvSpPr/>
              </xdr:nvSpPr>
              <xdr:spPr>
                <a:xfrm>
                  <a:off x="4203000" y="3775238"/>
                  <a:ext cx="2286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" name="Shape 146">
                  <a:extLst>
                    <a:ext uri="{FF2B5EF4-FFF2-40B4-BE49-F238E27FC236}">
                      <a16:creationId xmlns:a16="http://schemas.microsoft.com/office/drawing/2014/main" id="{D40E8EA6-E5E6-4001-A36F-D457D3B1ED7D}"/>
                    </a:ext>
                  </a:extLst>
                </xdr:cNvPr>
                <xdr:cNvCxnSpPr/>
              </xdr:nvCxnSpPr>
              <xdr:spPr>
                <a:xfrm rot="10800000">
                  <a:off x="4203000" y="3775238"/>
                  <a:ext cx="2286000" cy="9525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dot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115661</xdr:colOff>
      <xdr:row>17</xdr:row>
      <xdr:rowOff>146050</xdr:rowOff>
    </xdr:from>
    <xdr:to>
      <xdr:col>30</xdr:col>
      <xdr:colOff>301625</xdr:colOff>
      <xdr:row>63</xdr:row>
      <xdr:rowOff>36285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09ED641-2103-4CDE-9CC1-D93746E8C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202406</xdr:colOff>
      <xdr:row>27</xdr:row>
      <xdr:rowOff>172328</xdr:rowOff>
    </xdr:from>
    <xdr:to>
      <xdr:col>24</xdr:col>
      <xdr:colOff>202406</xdr:colOff>
      <xdr:row>32</xdr:row>
      <xdr:rowOff>184547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B5B3182F-DED7-4448-958F-5D353FBCF7B2}"/>
            </a:ext>
          </a:extLst>
        </xdr:cNvPr>
        <xdr:cNvCxnSpPr/>
      </xdr:nvCxnSpPr>
      <xdr:spPr>
        <a:xfrm>
          <a:off x="18709481" y="6115928"/>
          <a:ext cx="0" cy="101234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406066</xdr:colOff>
      <xdr:row>32</xdr:row>
      <xdr:rowOff>180891</xdr:rowOff>
    </xdr:from>
    <xdr:to>
      <xdr:col>24</xdr:col>
      <xdr:colOff>204287</xdr:colOff>
      <xdr:row>32</xdr:row>
      <xdr:rowOff>185487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56CCAD0-F04A-4B45-9908-F25A73490251}"/>
            </a:ext>
          </a:extLst>
        </xdr:cNvPr>
        <xdr:cNvCxnSpPr/>
      </xdr:nvCxnSpPr>
      <xdr:spPr>
        <a:xfrm flipH="1">
          <a:off x="16627141" y="7124616"/>
          <a:ext cx="2084221" cy="45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399382</xdr:colOff>
      <xdr:row>32</xdr:row>
      <xdr:rowOff>186962</xdr:rowOff>
    </xdr:from>
    <xdr:to>
      <xdr:col>21</xdr:col>
      <xdr:colOff>399382</xdr:colOff>
      <xdr:row>38</xdr:row>
      <xdr:rowOff>175756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E973B691-AAF4-4370-9745-3B44EEFA0293}"/>
            </a:ext>
          </a:extLst>
        </xdr:cNvPr>
        <xdr:cNvCxnSpPr/>
      </xdr:nvCxnSpPr>
      <xdr:spPr>
        <a:xfrm>
          <a:off x="16620457" y="7130687"/>
          <a:ext cx="0" cy="118894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631658</xdr:colOff>
      <xdr:row>38</xdr:row>
      <xdr:rowOff>182047</xdr:rowOff>
    </xdr:from>
    <xdr:to>
      <xdr:col>21</xdr:col>
      <xdr:colOff>394370</xdr:colOff>
      <xdr:row>38</xdr:row>
      <xdr:rowOff>185487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DDEE7338-438C-4C03-9C4C-9C99D22A1D26}"/>
            </a:ext>
          </a:extLst>
        </xdr:cNvPr>
        <xdr:cNvCxnSpPr/>
      </xdr:nvCxnSpPr>
      <xdr:spPr>
        <a:xfrm flipH="1">
          <a:off x="14566733" y="8325922"/>
          <a:ext cx="2048712" cy="3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626152</xdr:colOff>
      <xdr:row>38</xdr:row>
      <xdr:rowOff>175756</xdr:rowOff>
    </xdr:from>
    <xdr:to>
      <xdr:col>18</xdr:col>
      <xdr:colOff>626152</xdr:colOff>
      <xdr:row>44</xdr:row>
      <xdr:rowOff>172020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53651A14-3E71-49E9-8CBE-A7D4895E5BE7}"/>
            </a:ext>
          </a:extLst>
        </xdr:cNvPr>
        <xdr:cNvCxnSpPr/>
      </xdr:nvCxnSpPr>
      <xdr:spPr>
        <a:xfrm>
          <a:off x="14561227" y="8319631"/>
          <a:ext cx="0" cy="11964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436145</xdr:colOff>
      <xdr:row>44</xdr:row>
      <xdr:rowOff>165434</xdr:rowOff>
    </xdr:from>
    <xdr:to>
      <xdr:col>18</xdr:col>
      <xdr:colOff>626154</xdr:colOff>
      <xdr:row>44</xdr:row>
      <xdr:rowOff>165730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7262771B-483C-4806-A342-70447EDF3839}"/>
            </a:ext>
          </a:extLst>
        </xdr:cNvPr>
        <xdr:cNvCxnSpPr/>
      </xdr:nvCxnSpPr>
      <xdr:spPr>
        <a:xfrm flipH="1" flipV="1">
          <a:off x="12847220" y="9509459"/>
          <a:ext cx="1714009" cy="2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421105</xdr:colOff>
      <xdr:row>44</xdr:row>
      <xdr:rowOff>171923</xdr:rowOff>
    </xdr:from>
    <xdr:to>
      <xdr:col>16</xdr:col>
      <xdr:colOff>421989</xdr:colOff>
      <xdr:row>49</xdr:row>
      <xdr:rowOff>165434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F8199573-4663-4C99-B32B-00C382BCEE22}"/>
            </a:ext>
          </a:extLst>
        </xdr:cNvPr>
        <xdr:cNvCxnSpPr/>
      </xdr:nvCxnSpPr>
      <xdr:spPr>
        <a:xfrm flipH="1">
          <a:off x="12832180" y="9515948"/>
          <a:ext cx="884" cy="99363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701842</xdr:colOff>
      <xdr:row>49</xdr:row>
      <xdr:rowOff>165434</xdr:rowOff>
    </xdr:from>
    <xdr:to>
      <xdr:col>16</xdr:col>
      <xdr:colOff>424449</xdr:colOff>
      <xdr:row>49</xdr:row>
      <xdr:rowOff>167007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F5B9EC73-D2FC-4EFC-9CD0-989EC453615A}"/>
            </a:ext>
          </a:extLst>
        </xdr:cNvPr>
        <xdr:cNvCxnSpPr/>
      </xdr:nvCxnSpPr>
      <xdr:spPr>
        <a:xfrm flipH="1" flipV="1">
          <a:off x="11588917" y="10509584"/>
          <a:ext cx="1246607" cy="157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691030</xdr:colOff>
      <xdr:row>49</xdr:row>
      <xdr:rowOff>175460</xdr:rowOff>
    </xdr:from>
    <xdr:to>
      <xdr:col>14</xdr:col>
      <xdr:colOff>696829</xdr:colOff>
      <xdr:row>53</xdr:row>
      <xdr:rowOff>97118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D29D0237-DEBD-4CD3-AA2B-2DD6523E722A}"/>
            </a:ext>
          </a:extLst>
        </xdr:cNvPr>
        <xdr:cNvCxnSpPr/>
      </xdr:nvCxnSpPr>
      <xdr:spPr>
        <a:xfrm flipH="1">
          <a:off x="11578105" y="10519610"/>
          <a:ext cx="5799" cy="72175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646697</xdr:colOff>
      <xdr:row>53</xdr:row>
      <xdr:rowOff>95250</xdr:rowOff>
    </xdr:from>
    <xdr:to>
      <xdr:col>14</xdr:col>
      <xdr:colOff>694764</xdr:colOff>
      <xdr:row>53</xdr:row>
      <xdr:rowOff>100854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02E784F4-7EBE-4A77-9B00-9DB144ECA52F}"/>
            </a:ext>
          </a:extLst>
        </xdr:cNvPr>
        <xdr:cNvCxnSpPr/>
      </xdr:nvCxnSpPr>
      <xdr:spPr>
        <a:xfrm flipH="1" flipV="1">
          <a:off x="10771772" y="11239500"/>
          <a:ext cx="810067" cy="560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0.02242</cdr:x>
      <cdr:y>0.25089</cdr:y>
    </cdr:from>
    <cdr:to>
      <cdr:x>0.81724</cdr:x>
      <cdr:y>0.95119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1FCFF948-7392-4A8E-A706-C78E195219BE}"/>
            </a:ext>
          </a:extLst>
        </cdr:cNvPr>
        <cdr:cNvCxnSpPr/>
      </cdr:nvCxnSpPr>
      <cdr:spPr>
        <a:xfrm xmlns:a="http://schemas.openxmlformats.org/drawingml/2006/main" flipH="1">
          <a:off x="328839" y="2308002"/>
          <a:ext cx="11655137" cy="644229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0.03795</cdr:x>
      <cdr:y>0.90015</cdr:y>
    </cdr:from>
    <cdr:to>
      <cdr:x>0.07217</cdr:x>
      <cdr:y>0.98405</cdr:y>
    </cdr:to>
    <cdr:cxnSp macro="">
      <cdr:nvCxnSpPr>
        <cdr:cNvPr id="10" name="Connecteur droit 9">
          <a:extLst xmlns:a="http://schemas.openxmlformats.org/drawingml/2006/main">
            <a:ext uri="{FF2B5EF4-FFF2-40B4-BE49-F238E27FC236}">
              <a16:creationId xmlns:a16="http://schemas.microsoft.com/office/drawing/2014/main" id="{B72AA103-3D35-4EB6-A60B-6387A7B8E1F8}"/>
            </a:ext>
          </a:extLst>
        </cdr:cNvPr>
        <cdr:cNvCxnSpPr/>
      </cdr:nvCxnSpPr>
      <cdr:spPr>
        <a:xfrm xmlns:a="http://schemas.openxmlformats.org/drawingml/2006/main" flipH="1">
          <a:off x="556510" y="8341267"/>
          <a:ext cx="501805" cy="77748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0.1397</cdr:x>
      <cdr:y>0.79776</cdr:y>
    </cdr:from>
    <cdr:to>
      <cdr:x>0.1398</cdr:x>
      <cdr:y>0.84672</cdr:y>
    </cdr:to>
    <cdr:cxnSp macro="">
      <cdr:nvCxnSpPr>
        <cdr:cNvPr id="14" name="Connecteur droit 13">
          <a:extLst xmlns:a="http://schemas.openxmlformats.org/drawingml/2006/main">
            <a:ext uri="{FF2B5EF4-FFF2-40B4-BE49-F238E27FC236}">
              <a16:creationId xmlns:a16="http://schemas.microsoft.com/office/drawing/2014/main" id="{FD60BEE4-93F9-472F-9F62-6851A9D9AB69}"/>
            </a:ext>
          </a:extLst>
        </cdr:cNvPr>
        <cdr:cNvCxnSpPr/>
      </cdr:nvCxnSpPr>
      <cdr:spPr>
        <a:xfrm xmlns:a="http://schemas.openxmlformats.org/drawingml/2006/main">
          <a:off x="2048563" y="7703080"/>
          <a:ext cx="1460" cy="47271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0.1065</cdr:x>
      <cdr:y>0.84741</cdr:y>
    </cdr:from>
    <cdr:to>
      <cdr:x>0.1397</cdr:x>
      <cdr:y>0.84754</cdr:y>
    </cdr:to>
    <cdr:cxnSp macro="">
      <cdr:nvCxnSpPr>
        <cdr:cNvPr id="16" name="Connecteur droit 15">
          <a:extLst xmlns:a="http://schemas.openxmlformats.org/drawingml/2006/main">
            <a:ext uri="{FF2B5EF4-FFF2-40B4-BE49-F238E27FC236}">
              <a16:creationId xmlns:a16="http://schemas.microsoft.com/office/drawing/2014/main" id="{9207C02D-489F-4F07-808A-A6C73A2222CD}"/>
            </a:ext>
          </a:extLst>
        </cdr:cNvPr>
        <cdr:cNvCxnSpPr/>
      </cdr:nvCxnSpPr>
      <cdr:spPr>
        <a:xfrm xmlns:a="http://schemas.openxmlformats.org/drawingml/2006/main" flipH="1">
          <a:off x="1561669" y="8155712"/>
          <a:ext cx="486895" cy="12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0.1068</cdr:x>
      <cdr:y>0.84678</cdr:y>
    </cdr:from>
    <cdr:to>
      <cdr:x>0.10701</cdr:x>
      <cdr:y>0.8778</cdr:y>
    </cdr:to>
    <cdr:cxnSp macro="">
      <cdr:nvCxnSpPr>
        <cdr:cNvPr id="18" name="Connecteur droit 17">
          <a:extLst xmlns:a="http://schemas.openxmlformats.org/drawingml/2006/main">
            <a:ext uri="{FF2B5EF4-FFF2-40B4-BE49-F238E27FC236}">
              <a16:creationId xmlns:a16="http://schemas.microsoft.com/office/drawing/2014/main" id="{6B2E0692-400C-44B3-AEC8-03FB18B201CB}"/>
            </a:ext>
          </a:extLst>
        </cdr:cNvPr>
        <cdr:cNvCxnSpPr/>
      </cdr:nvCxnSpPr>
      <cdr:spPr>
        <a:xfrm xmlns:a="http://schemas.openxmlformats.org/drawingml/2006/main">
          <a:off x="1566177" y="8182866"/>
          <a:ext cx="3079" cy="299764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0.0859</cdr:x>
      <cdr:y>0.8765</cdr:y>
    </cdr:from>
    <cdr:to>
      <cdr:x>0.10612</cdr:x>
      <cdr:y>0.87719</cdr:y>
    </cdr:to>
    <cdr:cxnSp macro="">
      <cdr:nvCxnSpPr>
        <cdr:cNvPr id="21" name="Connecteur droit 20">
          <a:extLst xmlns:a="http://schemas.openxmlformats.org/drawingml/2006/main">
            <a:ext uri="{FF2B5EF4-FFF2-40B4-BE49-F238E27FC236}">
              <a16:creationId xmlns:a16="http://schemas.microsoft.com/office/drawing/2014/main" id="{91579385-3CF7-4060-AFB4-9011E112F402}"/>
            </a:ext>
          </a:extLst>
        </cdr:cNvPr>
        <cdr:cNvCxnSpPr/>
      </cdr:nvCxnSpPr>
      <cdr:spPr>
        <a:xfrm xmlns:a="http://schemas.openxmlformats.org/drawingml/2006/main" flipH="1" flipV="1">
          <a:off x="1259656" y="8435742"/>
          <a:ext cx="296433" cy="663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0.08603</cdr:x>
      <cdr:y>0.87645</cdr:y>
    </cdr:from>
    <cdr:to>
      <cdr:x>0.08621</cdr:x>
      <cdr:y>0.89535</cdr:y>
    </cdr:to>
    <cdr:cxnSp macro="">
      <cdr:nvCxnSpPr>
        <cdr:cNvPr id="24" name="Connecteur droit 23">
          <a:extLst xmlns:a="http://schemas.openxmlformats.org/drawingml/2006/main">
            <a:ext uri="{FF2B5EF4-FFF2-40B4-BE49-F238E27FC236}">
              <a16:creationId xmlns:a16="http://schemas.microsoft.com/office/drawing/2014/main" id="{87E6E751-2AA5-4CA7-9461-3DC73FBAC44B}"/>
            </a:ext>
          </a:extLst>
        </cdr:cNvPr>
        <cdr:cNvCxnSpPr/>
      </cdr:nvCxnSpPr>
      <cdr:spPr>
        <a:xfrm xmlns:a="http://schemas.openxmlformats.org/drawingml/2006/main">
          <a:off x="1261602" y="8475362"/>
          <a:ext cx="2574" cy="18277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0.07545</cdr:x>
      <cdr:y>0.89502</cdr:y>
    </cdr:from>
    <cdr:to>
      <cdr:x>0.08621</cdr:x>
      <cdr:y>0.89509</cdr:y>
    </cdr:to>
    <cdr:cxnSp macro="">
      <cdr:nvCxnSpPr>
        <cdr:cNvPr id="35" name="Connecteur droit 34">
          <a:extLst xmlns:a="http://schemas.openxmlformats.org/drawingml/2006/main">
            <a:ext uri="{FF2B5EF4-FFF2-40B4-BE49-F238E27FC236}">
              <a16:creationId xmlns:a16="http://schemas.microsoft.com/office/drawing/2014/main" id="{858FF83D-973B-4B61-8F6A-052FE053391D}"/>
            </a:ext>
          </a:extLst>
        </cdr:cNvPr>
        <cdr:cNvCxnSpPr/>
      </cdr:nvCxnSpPr>
      <cdr:spPr>
        <a:xfrm xmlns:a="http://schemas.openxmlformats.org/drawingml/2006/main" flipH="1" flipV="1">
          <a:off x="1106346" y="8654906"/>
          <a:ext cx="157830" cy="65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0.07585</cdr:x>
      <cdr:y>0.89448</cdr:y>
    </cdr:from>
    <cdr:to>
      <cdr:x>0.07585</cdr:x>
      <cdr:y>0.90439</cdr:y>
    </cdr:to>
    <cdr:cxnSp macro="">
      <cdr:nvCxnSpPr>
        <cdr:cNvPr id="37" name="Connecteur droit 36">
          <a:extLst xmlns:a="http://schemas.openxmlformats.org/drawingml/2006/main">
            <a:ext uri="{FF2B5EF4-FFF2-40B4-BE49-F238E27FC236}">
              <a16:creationId xmlns:a16="http://schemas.microsoft.com/office/drawing/2014/main" id="{ECA53BB1-A469-45B2-8745-C3C066286527}"/>
            </a:ext>
          </a:extLst>
        </cdr:cNvPr>
        <cdr:cNvCxnSpPr/>
      </cdr:nvCxnSpPr>
      <cdr:spPr>
        <a:xfrm xmlns:a="http://schemas.openxmlformats.org/drawingml/2006/main">
          <a:off x="1112226" y="8643902"/>
          <a:ext cx="0" cy="9576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0.0683</cdr:x>
      <cdr:y>0.90414</cdr:y>
    </cdr:from>
    <cdr:to>
      <cdr:x>0.07585</cdr:x>
      <cdr:y>0.90414</cdr:y>
    </cdr:to>
    <cdr:cxnSp macro="">
      <cdr:nvCxnSpPr>
        <cdr:cNvPr id="41" name="Connecteur droit 40">
          <a:extLst xmlns:a="http://schemas.openxmlformats.org/drawingml/2006/main">
            <a:ext uri="{FF2B5EF4-FFF2-40B4-BE49-F238E27FC236}">
              <a16:creationId xmlns:a16="http://schemas.microsoft.com/office/drawing/2014/main" id="{F47A15E5-F620-4691-A85D-F8E6B69BB94C}"/>
            </a:ext>
          </a:extLst>
        </cdr:cNvPr>
        <cdr:cNvCxnSpPr/>
      </cdr:nvCxnSpPr>
      <cdr:spPr>
        <a:xfrm xmlns:a="http://schemas.openxmlformats.org/drawingml/2006/main" flipH="1">
          <a:off x="1001595" y="8743092"/>
          <a:ext cx="110696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0.06839</cdr:x>
      <cdr:y>0.90387</cdr:y>
    </cdr:from>
    <cdr:to>
      <cdr:x>0.06848</cdr:x>
      <cdr:y>0.91106</cdr:y>
    </cdr:to>
    <cdr:cxnSp macro="">
      <cdr:nvCxnSpPr>
        <cdr:cNvPr id="43" name="Connecteur droit 42">
          <a:extLst xmlns:a="http://schemas.openxmlformats.org/drawingml/2006/main">
            <a:ext uri="{FF2B5EF4-FFF2-40B4-BE49-F238E27FC236}">
              <a16:creationId xmlns:a16="http://schemas.microsoft.com/office/drawing/2014/main" id="{EAEFEDD0-85CA-4FF1-A2B5-07E93C9C4A8E}"/>
            </a:ext>
          </a:extLst>
        </cdr:cNvPr>
        <cdr:cNvCxnSpPr/>
      </cdr:nvCxnSpPr>
      <cdr:spPr>
        <a:xfrm xmlns:a="http://schemas.openxmlformats.org/drawingml/2006/main">
          <a:off x="1002902" y="8740503"/>
          <a:ext cx="1268" cy="6952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0.05756</cdr:x>
      <cdr:y>0.92023</cdr:y>
    </cdr:from>
    <cdr:to>
      <cdr:x>0.06433</cdr:x>
      <cdr:y>0.92023</cdr:y>
    </cdr:to>
    <cdr:cxnSp macro="">
      <cdr:nvCxnSpPr>
        <cdr:cNvPr id="45" name="Connecteur droit 44">
          <a:extLst xmlns:a="http://schemas.openxmlformats.org/drawingml/2006/main">
            <a:ext uri="{FF2B5EF4-FFF2-40B4-BE49-F238E27FC236}">
              <a16:creationId xmlns:a16="http://schemas.microsoft.com/office/drawing/2014/main" id="{6FCC240F-3A7B-4E9F-9023-639F4FA99756}"/>
            </a:ext>
          </a:extLst>
        </cdr:cNvPr>
        <cdr:cNvCxnSpPr/>
      </cdr:nvCxnSpPr>
      <cdr:spPr>
        <a:xfrm xmlns:a="http://schemas.openxmlformats.org/drawingml/2006/main" flipH="1">
          <a:off x="844109" y="8865792"/>
          <a:ext cx="99275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0.05755</cdr:x>
      <cdr:y>0.92034</cdr:y>
    </cdr:from>
    <cdr:to>
      <cdr:x>0.05767</cdr:x>
      <cdr:y>0.9342</cdr:y>
    </cdr:to>
    <cdr:cxnSp macro="">
      <cdr:nvCxnSpPr>
        <cdr:cNvPr id="47" name="Connecteur droit 46">
          <a:extLst xmlns:a="http://schemas.openxmlformats.org/drawingml/2006/main">
            <a:ext uri="{FF2B5EF4-FFF2-40B4-BE49-F238E27FC236}">
              <a16:creationId xmlns:a16="http://schemas.microsoft.com/office/drawing/2014/main" id="{F0869E95-3D60-4EDB-A81E-05D54CD2CFF5}"/>
            </a:ext>
          </a:extLst>
        </cdr:cNvPr>
        <cdr:cNvCxnSpPr/>
      </cdr:nvCxnSpPr>
      <cdr:spPr>
        <a:xfrm xmlns:a="http://schemas.openxmlformats.org/drawingml/2006/main" flipH="1">
          <a:off x="843983" y="8866880"/>
          <a:ext cx="1738" cy="13345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0.0496</cdr:x>
      <cdr:y>0.93444</cdr:y>
    </cdr:from>
    <cdr:to>
      <cdr:x>0.05773</cdr:x>
      <cdr:y>0.93455</cdr:y>
    </cdr:to>
    <cdr:cxnSp macro="">
      <cdr:nvCxnSpPr>
        <cdr:cNvPr id="49" name="Connecteur droit 48">
          <a:extLst xmlns:a="http://schemas.openxmlformats.org/drawingml/2006/main">
            <a:ext uri="{FF2B5EF4-FFF2-40B4-BE49-F238E27FC236}">
              <a16:creationId xmlns:a16="http://schemas.microsoft.com/office/drawing/2014/main" id="{24E7D326-B10A-437D-A2D9-CCFE6579DFF9}"/>
            </a:ext>
          </a:extLst>
        </cdr:cNvPr>
        <cdr:cNvCxnSpPr/>
      </cdr:nvCxnSpPr>
      <cdr:spPr>
        <a:xfrm xmlns:a="http://schemas.openxmlformats.org/drawingml/2006/main" flipH="1" flipV="1">
          <a:off x="727302" y="9002713"/>
          <a:ext cx="119265" cy="101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0.0496</cdr:x>
      <cdr:y>0.93433</cdr:y>
    </cdr:from>
    <cdr:to>
      <cdr:x>0.04964</cdr:x>
      <cdr:y>0.95545</cdr:y>
    </cdr:to>
    <cdr:cxnSp macro="">
      <cdr:nvCxnSpPr>
        <cdr:cNvPr id="51" name="Connecteur droit 50">
          <a:extLst xmlns:a="http://schemas.openxmlformats.org/drawingml/2006/main">
            <a:ext uri="{FF2B5EF4-FFF2-40B4-BE49-F238E27FC236}">
              <a16:creationId xmlns:a16="http://schemas.microsoft.com/office/drawing/2014/main" id="{F7E29357-65E1-4E21-AE03-07BF1F5498D2}"/>
            </a:ext>
          </a:extLst>
        </cdr:cNvPr>
        <cdr:cNvCxnSpPr/>
      </cdr:nvCxnSpPr>
      <cdr:spPr>
        <a:xfrm xmlns:a="http://schemas.openxmlformats.org/drawingml/2006/main" flipH="1">
          <a:off x="727302" y="9001648"/>
          <a:ext cx="594" cy="20347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0.68157</cdr:x>
      <cdr:y>0.26632</cdr:y>
    </cdr:from>
    <cdr:to>
      <cdr:x>0.79715</cdr:x>
      <cdr:y>0.26792</cdr:y>
    </cdr:to>
    <cdr:cxnSp macro="">
      <cdr:nvCxnSpPr>
        <cdr:cNvPr id="4" name="Connecteur droit 3">
          <a:extLst xmlns:a="http://schemas.openxmlformats.org/drawingml/2006/main">
            <a:ext uri="{FF2B5EF4-FFF2-40B4-BE49-F238E27FC236}">
              <a16:creationId xmlns:a16="http://schemas.microsoft.com/office/drawing/2014/main" id="{981FE101-324B-438D-80C8-EC211BEF763B}"/>
            </a:ext>
          </a:extLst>
        </cdr:cNvPr>
        <cdr:cNvCxnSpPr/>
      </cdr:nvCxnSpPr>
      <cdr:spPr>
        <a:xfrm xmlns:a="http://schemas.openxmlformats.org/drawingml/2006/main" flipH="1" flipV="1">
          <a:off x="9994448" y="2594684"/>
          <a:ext cx="1694937" cy="1556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0.06405</cdr:x>
      <cdr:y>0.91072</cdr:y>
    </cdr:from>
    <cdr:to>
      <cdr:x>0.06901</cdr:x>
      <cdr:y>0.91079</cdr:y>
    </cdr:to>
    <cdr:cxnSp macro="">
      <cdr:nvCxnSpPr>
        <cdr:cNvPr id="25" name="Connecteur droit 24">
          <a:extLst xmlns:a="http://schemas.openxmlformats.org/drawingml/2006/main">
            <a:ext uri="{FF2B5EF4-FFF2-40B4-BE49-F238E27FC236}">
              <a16:creationId xmlns:a16="http://schemas.microsoft.com/office/drawing/2014/main" id="{2120DACD-3F65-445F-858B-38B68D1201FB}"/>
            </a:ext>
          </a:extLst>
        </cdr:cNvPr>
        <cdr:cNvCxnSpPr/>
      </cdr:nvCxnSpPr>
      <cdr:spPr>
        <a:xfrm xmlns:a="http://schemas.openxmlformats.org/drawingml/2006/main" flipH="1" flipV="1">
          <a:off x="939233" y="8774113"/>
          <a:ext cx="72660" cy="74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0.06389</cdr:x>
      <cdr:y>0.9106</cdr:y>
    </cdr:from>
    <cdr:to>
      <cdr:x>0.06389</cdr:x>
      <cdr:y>0.92035</cdr:y>
    </cdr:to>
    <cdr:cxnSp macro="">
      <cdr:nvCxnSpPr>
        <cdr:cNvPr id="27" name="Connecteur droit 26">
          <a:extLst xmlns:a="http://schemas.openxmlformats.org/drawingml/2006/main">
            <a:ext uri="{FF2B5EF4-FFF2-40B4-BE49-F238E27FC236}">
              <a16:creationId xmlns:a16="http://schemas.microsoft.com/office/drawing/2014/main" id="{A71A7F40-3429-4E31-8E5D-1A97C3E5BCAE}"/>
            </a:ext>
          </a:extLst>
        </cdr:cNvPr>
        <cdr:cNvCxnSpPr/>
      </cdr:nvCxnSpPr>
      <cdr:spPr>
        <a:xfrm xmlns:a="http://schemas.openxmlformats.org/drawingml/2006/main" flipH="1">
          <a:off x="936852" y="8773029"/>
          <a:ext cx="2" cy="9395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0.03644</cdr:x>
      <cdr:y>0.9557</cdr:y>
    </cdr:from>
    <cdr:to>
      <cdr:x>0.0496</cdr:x>
      <cdr:y>0.9557</cdr:y>
    </cdr:to>
    <cdr:cxnSp macro="">
      <cdr:nvCxnSpPr>
        <cdr:cNvPr id="39" name="Connecteur droit 38">
          <a:extLst xmlns:a="http://schemas.openxmlformats.org/drawingml/2006/main">
            <a:ext uri="{FF2B5EF4-FFF2-40B4-BE49-F238E27FC236}">
              <a16:creationId xmlns:a16="http://schemas.microsoft.com/office/drawing/2014/main" id="{B2176511-35E3-4C85-8628-DE88CC35D542}"/>
            </a:ext>
          </a:extLst>
        </cdr:cNvPr>
        <cdr:cNvCxnSpPr/>
      </cdr:nvCxnSpPr>
      <cdr:spPr>
        <a:xfrm xmlns:a="http://schemas.openxmlformats.org/drawingml/2006/main" flipH="1">
          <a:off x="534420" y="9207500"/>
          <a:ext cx="192882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0.03628</cdr:x>
      <cdr:y>0.95595</cdr:y>
    </cdr:from>
    <cdr:to>
      <cdr:x>0.03628</cdr:x>
      <cdr:y>0.96979</cdr:y>
    </cdr:to>
    <cdr:cxnSp macro="">
      <cdr:nvCxnSpPr>
        <cdr:cNvPr id="42" name="Connecteur droit 41">
          <a:extLst xmlns:a="http://schemas.openxmlformats.org/drawingml/2006/main">
            <a:ext uri="{FF2B5EF4-FFF2-40B4-BE49-F238E27FC236}">
              <a16:creationId xmlns:a16="http://schemas.microsoft.com/office/drawing/2014/main" id="{C7E1CD8D-5D82-4726-BE01-6CBC4AD69FB4}"/>
            </a:ext>
          </a:extLst>
        </cdr:cNvPr>
        <cdr:cNvCxnSpPr/>
      </cdr:nvCxnSpPr>
      <cdr:spPr>
        <a:xfrm xmlns:a="http://schemas.openxmlformats.org/drawingml/2006/main">
          <a:off x="532039" y="9209881"/>
          <a:ext cx="0" cy="1333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M%20colonne%203%20b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</sheetNames>
    <sheetDataSet>
      <sheetData sheetId="0">
        <row r="26">
          <cell r="F26">
            <v>0</v>
          </cell>
          <cell r="H26">
            <v>0</v>
          </cell>
          <cell r="I26">
            <v>4.4824999999999997E-2</v>
          </cell>
          <cell r="J26">
            <v>4.4823145000000002E-2</v>
          </cell>
        </row>
        <row r="27">
          <cell r="F27">
            <v>0.01</v>
          </cell>
          <cell r="H27">
            <v>1.8065000000000001E-2</v>
          </cell>
          <cell r="I27">
            <v>0.24482500000000001</v>
          </cell>
          <cell r="J27">
            <v>1.4943144999999998E-2</v>
          </cell>
        </row>
        <row r="28">
          <cell r="F28">
            <v>0.02</v>
          </cell>
          <cell r="H28">
            <v>3.5864800000000002E-2</v>
          </cell>
        </row>
        <row r="29">
          <cell r="F29">
            <v>0.03</v>
          </cell>
          <cell r="H29">
            <v>5.3403899999999997E-2</v>
          </cell>
        </row>
        <row r="30">
          <cell r="F30">
            <v>0.04</v>
          </cell>
          <cell r="H30">
            <v>7.0686799999999994E-2</v>
          </cell>
        </row>
        <row r="31">
          <cell r="F31">
            <v>0.05</v>
          </cell>
          <cell r="H31">
            <v>8.7717900000000001E-2</v>
          </cell>
        </row>
        <row r="32">
          <cell r="F32">
            <v>0.06</v>
          </cell>
          <cell r="H32">
            <v>0.104501</v>
          </cell>
        </row>
        <row r="33">
          <cell r="F33">
            <v>7.0000000000000007E-2</v>
          </cell>
          <cell r="H33">
            <v>0.121042</v>
          </cell>
        </row>
        <row r="34">
          <cell r="F34">
            <v>0.08</v>
          </cell>
          <cell r="H34">
            <v>0.13734299999999999</v>
          </cell>
        </row>
        <row r="35">
          <cell r="F35">
            <v>0.09</v>
          </cell>
          <cell r="H35">
            <v>0.15340899999999999</v>
          </cell>
        </row>
        <row r="36">
          <cell r="F36">
            <v>0.1</v>
          </cell>
          <cell r="H36">
            <v>0.16924500000000001</v>
          </cell>
        </row>
        <row r="37">
          <cell r="F37">
            <v>0.11</v>
          </cell>
          <cell r="H37">
            <v>0.18485299999999999</v>
          </cell>
        </row>
        <row r="38">
          <cell r="F38">
            <v>0.12</v>
          </cell>
          <cell r="H38">
            <v>0.200239</v>
          </cell>
        </row>
        <row r="39">
          <cell r="F39">
            <v>0.13</v>
          </cell>
          <cell r="H39">
            <v>0.21540500000000001</v>
          </cell>
        </row>
        <row r="40">
          <cell r="F40">
            <v>0.14000000000000001</v>
          </cell>
          <cell r="H40">
            <v>0.23035600000000001</v>
          </cell>
        </row>
        <row r="41">
          <cell r="F41">
            <v>0.15</v>
          </cell>
          <cell r="H41">
            <v>0.24509500000000001</v>
          </cell>
        </row>
        <row r="42">
          <cell r="F42">
            <v>0.16</v>
          </cell>
          <cell r="H42">
            <v>0.259627</v>
          </cell>
        </row>
        <row r="43">
          <cell r="F43">
            <v>0.17</v>
          </cell>
          <cell r="H43">
            <v>0.273953</v>
          </cell>
        </row>
        <row r="44">
          <cell r="F44">
            <v>0.18</v>
          </cell>
          <cell r="H44">
            <v>0.28807899999999997</v>
          </cell>
        </row>
        <row r="45">
          <cell r="F45">
            <v>0.19</v>
          </cell>
          <cell r="H45">
            <v>0.30200700000000003</v>
          </cell>
        </row>
        <row r="46">
          <cell r="F46">
            <v>0.2</v>
          </cell>
          <cell r="H46">
            <v>0.31574200000000002</v>
          </cell>
        </row>
        <row r="47">
          <cell r="F47">
            <v>0.21</v>
          </cell>
          <cell r="H47">
            <v>0.32928499999999999</v>
          </cell>
        </row>
        <row r="48">
          <cell r="F48">
            <v>0.22</v>
          </cell>
          <cell r="H48">
            <v>0.34264099999999997</v>
          </cell>
        </row>
        <row r="49">
          <cell r="F49">
            <v>0.23</v>
          </cell>
          <cell r="H49">
            <v>0.35581299999999999</v>
          </cell>
        </row>
        <row r="50">
          <cell r="F50">
            <v>0.24</v>
          </cell>
          <cell r="H50">
            <v>0.36880400000000002</v>
          </cell>
        </row>
        <row r="51">
          <cell r="F51">
            <v>0.25</v>
          </cell>
          <cell r="H51">
            <v>0.38161699999999998</v>
          </cell>
        </row>
        <row r="52">
          <cell r="F52">
            <v>0.26</v>
          </cell>
          <cell r="H52">
            <v>0.39425500000000002</v>
          </cell>
        </row>
        <row r="53">
          <cell r="F53">
            <v>0.27</v>
          </cell>
          <cell r="H53">
            <v>0.406721</v>
          </cell>
        </row>
        <row r="54">
          <cell r="F54">
            <v>0.28000000000000003</v>
          </cell>
          <cell r="H54">
            <v>0.41901699999999997</v>
          </cell>
        </row>
        <row r="55">
          <cell r="F55">
            <v>0.28999999999999998</v>
          </cell>
          <cell r="H55">
            <v>0.43114799999999998</v>
          </cell>
        </row>
        <row r="56">
          <cell r="F56">
            <v>0.3</v>
          </cell>
          <cell r="H56">
            <v>0.44311600000000001</v>
          </cell>
        </row>
        <row r="57">
          <cell r="F57">
            <v>0.31</v>
          </cell>
          <cell r="H57">
            <v>0.45492300000000002</v>
          </cell>
        </row>
        <row r="58">
          <cell r="F58">
            <v>0.32</v>
          </cell>
          <cell r="H58">
            <v>0.46657300000000002</v>
          </cell>
        </row>
        <row r="59">
          <cell r="F59">
            <v>0.33</v>
          </cell>
          <cell r="H59">
            <v>0.47806700000000002</v>
          </cell>
        </row>
        <row r="60">
          <cell r="F60">
            <v>0.34</v>
          </cell>
          <cell r="H60">
            <v>0.48940899999999998</v>
          </cell>
        </row>
        <row r="61">
          <cell r="F61">
            <v>0.35</v>
          </cell>
          <cell r="H61">
            <v>0.50060099999999996</v>
          </cell>
        </row>
        <row r="62">
          <cell r="F62">
            <v>0.36</v>
          </cell>
          <cell r="H62">
            <v>0.51164600000000005</v>
          </cell>
        </row>
        <row r="63">
          <cell r="F63">
            <v>0.37</v>
          </cell>
          <cell r="H63">
            <v>0.52254699999999998</v>
          </cell>
        </row>
        <row r="64">
          <cell r="F64">
            <v>0.38</v>
          </cell>
          <cell r="H64">
            <v>0.53330500000000003</v>
          </cell>
        </row>
        <row r="65">
          <cell r="F65">
            <v>0.39</v>
          </cell>
          <cell r="H65">
            <v>0.54392300000000005</v>
          </cell>
        </row>
        <row r="66">
          <cell r="F66">
            <v>0.4</v>
          </cell>
          <cell r="H66">
            <v>0.55440299999999998</v>
          </cell>
        </row>
        <row r="67">
          <cell r="F67">
            <v>0.41</v>
          </cell>
          <cell r="H67">
            <v>0.56474899999999995</v>
          </cell>
        </row>
        <row r="68">
          <cell r="F68">
            <v>0.42</v>
          </cell>
          <cell r="H68">
            <v>0.57496100000000006</v>
          </cell>
        </row>
        <row r="69">
          <cell r="F69">
            <v>0.43</v>
          </cell>
          <cell r="H69">
            <v>0.58504299999999998</v>
          </cell>
        </row>
        <row r="70">
          <cell r="F70">
            <v>0.44</v>
          </cell>
          <cell r="H70">
            <v>0.59499599999999997</v>
          </cell>
        </row>
        <row r="71">
          <cell r="F71">
            <v>0.45</v>
          </cell>
          <cell r="H71">
            <v>0.604823</v>
          </cell>
        </row>
        <row r="72">
          <cell r="F72">
            <v>0.46</v>
          </cell>
          <cell r="H72">
            <v>0.61452499999999999</v>
          </cell>
        </row>
        <row r="73">
          <cell r="F73">
            <v>0.47</v>
          </cell>
          <cell r="H73">
            <v>0.62410600000000005</v>
          </cell>
        </row>
        <row r="74">
          <cell r="F74">
            <v>0.48</v>
          </cell>
          <cell r="H74">
            <v>0.63356599999999996</v>
          </cell>
        </row>
        <row r="75">
          <cell r="F75">
            <v>0.49</v>
          </cell>
          <cell r="H75">
            <v>0.64290899999999995</v>
          </cell>
        </row>
        <row r="76">
          <cell r="F76">
            <v>0.5</v>
          </cell>
          <cell r="H76">
            <v>0.65213500000000002</v>
          </cell>
        </row>
        <row r="77">
          <cell r="F77">
            <v>0.51</v>
          </cell>
          <cell r="H77">
            <v>0.66124700000000003</v>
          </cell>
        </row>
        <row r="78">
          <cell r="F78">
            <v>0.52</v>
          </cell>
          <cell r="H78">
            <v>0.67024600000000001</v>
          </cell>
        </row>
        <row r="79">
          <cell r="F79">
            <v>0.53</v>
          </cell>
          <cell r="H79">
            <v>0.67913599999999996</v>
          </cell>
        </row>
        <row r="80">
          <cell r="F80">
            <v>0.54</v>
          </cell>
          <cell r="H80">
            <v>0.68791599999999997</v>
          </cell>
        </row>
        <row r="81">
          <cell r="F81">
            <v>0.55000000000000004</v>
          </cell>
          <cell r="H81">
            <v>0.69659000000000004</v>
          </cell>
        </row>
        <row r="82">
          <cell r="F82">
            <v>0.56000000000000005</v>
          </cell>
          <cell r="H82">
            <v>0.70515899999999998</v>
          </cell>
        </row>
        <row r="83">
          <cell r="F83">
            <v>0.56999999999999995</v>
          </cell>
          <cell r="H83">
            <v>0.71362400000000004</v>
          </cell>
        </row>
        <row r="84">
          <cell r="F84">
            <v>0.57999999999999996</v>
          </cell>
          <cell r="H84">
            <v>0.72198799999999996</v>
          </cell>
        </row>
        <row r="85">
          <cell r="F85">
            <v>0.59</v>
          </cell>
          <cell r="H85">
            <v>0.73025200000000001</v>
          </cell>
        </row>
        <row r="86">
          <cell r="F86">
            <v>0.6</v>
          </cell>
          <cell r="H86">
            <v>0.73841699999999999</v>
          </cell>
        </row>
        <row r="87">
          <cell r="F87">
            <v>0.61</v>
          </cell>
          <cell r="H87">
            <v>0.74648599999999998</v>
          </cell>
        </row>
        <row r="88">
          <cell r="F88">
            <v>0.62</v>
          </cell>
          <cell r="H88">
            <v>0.75446000000000002</v>
          </cell>
        </row>
        <row r="89">
          <cell r="F89">
            <v>0.63</v>
          </cell>
          <cell r="H89">
            <v>0.76234000000000002</v>
          </cell>
        </row>
        <row r="90">
          <cell r="F90">
            <v>0.64</v>
          </cell>
          <cell r="H90">
            <v>0.77012800000000003</v>
          </cell>
        </row>
        <row r="91">
          <cell r="F91">
            <v>0.65</v>
          </cell>
          <cell r="H91">
            <v>0.77782499999999999</v>
          </cell>
        </row>
        <row r="92">
          <cell r="F92">
            <v>0.66</v>
          </cell>
          <cell r="H92">
            <v>0.78543300000000005</v>
          </cell>
        </row>
        <row r="93">
          <cell r="F93">
            <v>0.67</v>
          </cell>
          <cell r="H93">
            <v>0.79295400000000005</v>
          </cell>
        </row>
        <row r="94">
          <cell r="F94">
            <v>0.68</v>
          </cell>
          <cell r="H94">
            <v>0.80038799999999999</v>
          </cell>
        </row>
        <row r="95">
          <cell r="F95">
            <v>0.69</v>
          </cell>
          <cell r="H95">
            <v>0.80773700000000004</v>
          </cell>
        </row>
        <row r="96">
          <cell r="F96">
            <v>0.7</v>
          </cell>
          <cell r="H96">
            <v>0.81500300000000003</v>
          </cell>
        </row>
        <row r="97">
          <cell r="F97">
            <v>0.71</v>
          </cell>
          <cell r="H97">
            <v>0.822187</v>
          </cell>
        </row>
        <row r="98">
          <cell r="F98">
            <v>0.72</v>
          </cell>
          <cell r="H98">
            <v>0.82928999999999997</v>
          </cell>
        </row>
        <row r="99">
          <cell r="F99">
            <v>0.73</v>
          </cell>
          <cell r="H99">
            <v>0.83631299999999997</v>
          </cell>
        </row>
        <row r="100">
          <cell r="F100">
            <v>0.74</v>
          </cell>
          <cell r="H100">
            <v>0.84325799999999995</v>
          </cell>
        </row>
        <row r="101">
          <cell r="F101">
            <v>0.75</v>
          </cell>
          <cell r="H101">
            <v>0.85012600000000005</v>
          </cell>
        </row>
        <row r="102">
          <cell r="F102">
            <v>0.76</v>
          </cell>
          <cell r="H102">
            <v>0.85691799999999996</v>
          </cell>
        </row>
        <row r="103">
          <cell r="F103">
            <v>0.77</v>
          </cell>
          <cell r="H103">
            <v>0.86363500000000004</v>
          </cell>
        </row>
        <row r="104">
          <cell r="F104">
            <v>0.78</v>
          </cell>
          <cell r="H104">
            <v>0.87027900000000002</v>
          </cell>
        </row>
        <row r="105">
          <cell r="F105">
            <v>0.79</v>
          </cell>
          <cell r="H105">
            <v>0.87685100000000005</v>
          </cell>
        </row>
        <row r="106">
          <cell r="F106">
            <v>0.8</v>
          </cell>
          <cell r="H106">
            <v>0.883351</v>
          </cell>
        </row>
        <row r="107">
          <cell r="F107">
            <v>0.81</v>
          </cell>
          <cell r="H107">
            <v>0.88978199999999996</v>
          </cell>
        </row>
        <row r="108">
          <cell r="F108">
            <v>0.82</v>
          </cell>
          <cell r="H108">
            <v>0.89614300000000002</v>
          </cell>
        </row>
        <row r="109">
          <cell r="F109">
            <v>0.83</v>
          </cell>
          <cell r="H109">
            <v>0.90243700000000004</v>
          </cell>
        </row>
        <row r="110">
          <cell r="F110">
            <v>0.84</v>
          </cell>
          <cell r="H110">
            <v>0.90866400000000003</v>
          </cell>
        </row>
        <row r="111">
          <cell r="F111">
            <v>0.85</v>
          </cell>
          <cell r="H111">
            <v>0.914825</v>
          </cell>
        </row>
        <row r="112">
          <cell r="F112">
            <v>0.86</v>
          </cell>
          <cell r="H112">
            <v>0.92092099999999999</v>
          </cell>
        </row>
        <row r="113">
          <cell r="F113">
            <v>0.87</v>
          </cell>
          <cell r="H113">
            <v>0.92695300000000003</v>
          </cell>
        </row>
        <row r="114">
          <cell r="F114">
            <v>0.88</v>
          </cell>
          <cell r="H114">
            <v>0.93292299999999995</v>
          </cell>
        </row>
        <row r="115">
          <cell r="F115">
            <v>0.89</v>
          </cell>
          <cell r="H115">
            <v>0.93883099999999997</v>
          </cell>
        </row>
        <row r="116">
          <cell r="F116">
            <v>0.9</v>
          </cell>
          <cell r="H116">
            <v>0.94467800000000002</v>
          </cell>
        </row>
        <row r="117">
          <cell r="F117">
            <v>0.91</v>
          </cell>
          <cell r="H117">
            <v>0.950465</v>
          </cell>
        </row>
        <row r="118">
          <cell r="F118">
            <v>0.92</v>
          </cell>
          <cell r="H118">
            <v>0.95619299999999996</v>
          </cell>
        </row>
        <row r="119">
          <cell r="F119">
            <v>0.93</v>
          </cell>
          <cell r="H119">
            <v>0.96186300000000002</v>
          </cell>
        </row>
        <row r="120">
          <cell r="F120">
            <v>0.94</v>
          </cell>
          <cell r="H120">
            <v>0.967476</v>
          </cell>
        </row>
        <row r="121">
          <cell r="F121">
            <v>0.95</v>
          </cell>
          <cell r="H121">
            <v>0.97303300000000004</v>
          </cell>
        </row>
        <row r="122">
          <cell r="F122">
            <v>0.96</v>
          </cell>
          <cell r="H122">
            <v>0.97853400000000001</v>
          </cell>
        </row>
        <row r="123">
          <cell r="F123">
            <v>0.97</v>
          </cell>
          <cell r="H123">
            <v>0.98397999999999997</v>
          </cell>
        </row>
        <row r="124">
          <cell r="F124">
            <v>0.98</v>
          </cell>
          <cell r="H124">
            <v>0.98937299999999995</v>
          </cell>
        </row>
        <row r="125">
          <cell r="F125">
            <v>0.99</v>
          </cell>
          <cell r="H125">
            <v>0.99471299999999996</v>
          </cell>
        </row>
        <row r="126">
          <cell r="F126">
            <v>1</v>
          </cell>
          <cell r="H126">
            <v>1</v>
          </cell>
        </row>
      </sheetData>
      <sheetData sheetId="1"/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1000"/>
  <sheetViews>
    <sheetView topLeftCell="A13" zoomScale="70" zoomScaleNormal="70" workbookViewId="0">
      <selection activeCell="T107" sqref="T107"/>
    </sheetView>
  </sheetViews>
  <sheetFormatPr baseColWidth="10" defaultColWidth="14.42578125" defaultRowHeight="15" customHeight="1" x14ac:dyDescent="0.2"/>
  <cols>
    <col min="1" max="6" width="10.7109375" style="48" customWidth="1"/>
    <col min="7" max="7" width="15.85546875" style="48" customWidth="1"/>
    <col min="8" max="14" width="10.7109375" style="48" customWidth="1"/>
    <col min="15" max="15" width="12.85546875" style="48" customWidth="1"/>
    <col min="16" max="25" width="10.7109375" style="48" customWidth="1"/>
    <col min="26" max="26" width="14.85546875" style="48" customWidth="1"/>
    <col min="27" max="27" width="12.7109375" style="48" customWidth="1"/>
    <col min="28" max="28" width="11.5703125" style="48" customWidth="1"/>
    <col min="29" max="29" width="11.85546875" style="48" customWidth="1"/>
    <col min="30" max="30" width="17.140625" style="48" customWidth="1"/>
    <col min="31" max="31" width="10.28515625" style="48" customWidth="1"/>
    <col min="32" max="32" width="15.140625" style="48" customWidth="1"/>
    <col min="33" max="33" width="9.140625" style="48" customWidth="1"/>
    <col min="34" max="34" width="9.42578125" style="48" customWidth="1"/>
    <col min="35" max="35" width="9" style="48" customWidth="1"/>
    <col min="36" max="36" width="8.28515625" style="48" customWidth="1"/>
    <col min="37" max="37" width="9.140625" style="48" customWidth="1"/>
    <col min="38" max="38" width="8.5703125" style="48" customWidth="1"/>
    <col min="39" max="40" width="8.42578125" style="48" customWidth="1"/>
    <col min="41" max="41" width="9.7109375" style="48" customWidth="1"/>
    <col min="42" max="43" width="7.85546875" style="48" customWidth="1"/>
    <col min="44" max="44" width="7.140625" style="48" customWidth="1"/>
    <col min="45" max="45" width="6.7109375" style="48" customWidth="1"/>
    <col min="46" max="46" width="7.5703125" style="48" customWidth="1"/>
    <col min="47" max="47" width="8" style="48" customWidth="1"/>
    <col min="48" max="48" width="8.140625" style="48" customWidth="1"/>
    <col min="49" max="16384" width="14.42578125" style="48"/>
  </cols>
  <sheetData>
    <row r="1" spans="1:27" x14ac:dyDescent="0.25">
      <c r="A1" s="44" t="s">
        <v>45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6"/>
      <c r="R1" s="46"/>
      <c r="S1" s="46"/>
      <c r="T1" s="47"/>
      <c r="U1" s="47"/>
      <c r="V1" s="47"/>
      <c r="W1" s="46"/>
      <c r="X1" s="46"/>
      <c r="Y1" s="46"/>
      <c r="Z1" s="46"/>
      <c r="AA1" s="46"/>
    </row>
    <row r="2" spans="1:27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6"/>
      <c r="R2" s="46"/>
      <c r="S2" s="46"/>
      <c r="T2" s="47"/>
      <c r="U2" s="47"/>
      <c r="V2" s="47"/>
      <c r="W2" s="46"/>
      <c r="X2" s="46"/>
      <c r="Y2" s="46"/>
      <c r="Z2" s="46"/>
      <c r="AA2" s="46"/>
    </row>
    <row r="3" spans="1:27" x14ac:dyDescent="0.25">
      <c r="A3" s="50"/>
      <c r="B3" s="51" t="s">
        <v>46</v>
      </c>
      <c r="C3" s="52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6"/>
      <c r="R3" s="46"/>
      <c r="S3" s="46"/>
      <c r="T3" s="47"/>
      <c r="U3" s="47"/>
      <c r="V3" s="47"/>
      <c r="W3" s="46"/>
      <c r="X3" s="46"/>
      <c r="Y3" s="46"/>
      <c r="Z3" s="46"/>
      <c r="AA3" s="46"/>
    </row>
    <row r="4" spans="1:27" x14ac:dyDescent="0.25">
      <c r="A4" s="53"/>
      <c r="B4" s="51" t="s">
        <v>47</v>
      </c>
      <c r="C4" s="52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6"/>
      <c r="R4" s="46"/>
      <c r="S4" s="46"/>
      <c r="T4" s="47"/>
      <c r="U4" s="47"/>
      <c r="V4" s="47"/>
      <c r="W4" s="46"/>
      <c r="X4" s="46"/>
      <c r="Y4" s="46"/>
      <c r="Z4" s="46"/>
      <c r="AA4" s="46"/>
    </row>
    <row r="5" spans="1:27" x14ac:dyDescent="0.25">
      <c r="A5" s="54"/>
      <c r="B5" s="55" t="s">
        <v>48</v>
      </c>
      <c r="C5" s="52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6"/>
      <c r="R5" s="46"/>
      <c r="S5" s="46"/>
      <c r="T5" s="47"/>
      <c r="U5" s="47"/>
      <c r="V5" s="47"/>
      <c r="W5" s="46"/>
      <c r="X5" s="46"/>
      <c r="Y5" s="46"/>
      <c r="Z5" s="46"/>
      <c r="AA5" s="46"/>
    </row>
    <row r="6" spans="1:27" x14ac:dyDescent="0.25">
      <c r="A6" s="56"/>
      <c r="B6" s="51" t="s">
        <v>49</v>
      </c>
      <c r="C6" s="52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6"/>
      <c r="R6" s="46"/>
      <c r="S6" s="46"/>
      <c r="T6" s="47"/>
      <c r="U6" s="47"/>
      <c r="V6" s="47"/>
      <c r="W6" s="46"/>
      <c r="X6" s="46"/>
      <c r="Y6" s="46"/>
      <c r="Z6" s="46"/>
      <c r="AA6" s="46"/>
    </row>
    <row r="7" spans="1:27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6"/>
      <c r="R7" s="46"/>
      <c r="S7" s="46"/>
      <c r="T7" s="47"/>
      <c r="U7" s="47"/>
      <c r="V7" s="47"/>
      <c r="W7" s="46"/>
      <c r="X7" s="46"/>
      <c r="Y7" s="46"/>
      <c r="Z7" s="46"/>
      <c r="AA7" s="46"/>
    </row>
    <row r="8" spans="1:27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6"/>
      <c r="R8" s="46"/>
      <c r="S8" s="46"/>
      <c r="T8" s="47"/>
      <c r="U8" s="47"/>
      <c r="V8" s="47"/>
      <c r="W8" s="46"/>
      <c r="X8" s="46"/>
      <c r="Y8" s="46"/>
      <c r="Z8" s="46"/>
      <c r="AA8" s="46"/>
    </row>
    <row r="9" spans="1:27" x14ac:dyDescent="0.25">
      <c r="A9" s="49"/>
      <c r="B9" s="49"/>
      <c r="C9" s="49"/>
      <c r="D9" s="49"/>
      <c r="E9" s="49"/>
      <c r="F9" s="49"/>
      <c r="G9" s="49"/>
      <c r="H9" s="49"/>
      <c r="I9" s="49"/>
      <c r="K9" s="49"/>
      <c r="L9" s="49"/>
      <c r="M9" s="49"/>
      <c r="N9" s="49"/>
      <c r="O9" s="49"/>
      <c r="P9" s="49"/>
      <c r="Q9" s="46"/>
      <c r="R9" s="46"/>
      <c r="S9" s="46"/>
      <c r="T9" s="47"/>
      <c r="U9" s="47"/>
      <c r="V9" s="47"/>
      <c r="W9" s="46"/>
      <c r="X9" s="46"/>
      <c r="Y9" s="46"/>
      <c r="Z9" s="46"/>
      <c r="AA9" s="46"/>
    </row>
    <row r="10" spans="1:27" x14ac:dyDescent="0.25">
      <c r="A10" s="49"/>
      <c r="B10" s="49"/>
      <c r="C10" s="49"/>
      <c r="D10" s="49"/>
      <c r="E10" s="49"/>
      <c r="F10" s="49"/>
      <c r="G10" s="49"/>
      <c r="H10" s="49"/>
      <c r="I10" s="49"/>
      <c r="K10" s="49"/>
      <c r="L10" s="49"/>
      <c r="M10" s="49"/>
      <c r="N10" s="49"/>
      <c r="O10" s="49"/>
      <c r="P10" s="49"/>
      <c r="Q10" s="46"/>
      <c r="R10" s="46"/>
      <c r="S10" s="46"/>
      <c r="T10" s="47"/>
      <c r="U10" s="47"/>
      <c r="V10" s="47"/>
      <c r="W10" s="46"/>
      <c r="X10" s="46"/>
      <c r="Y10" s="46"/>
      <c r="Z10" s="46"/>
      <c r="AA10" s="46"/>
    </row>
    <row r="11" spans="1:27" x14ac:dyDescent="0.25">
      <c r="A11" s="49"/>
      <c r="B11" s="49"/>
      <c r="C11" s="49"/>
      <c r="D11" s="49"/>
      <c r="E11" s="49"/>
      <c r="F11" s="49"/>
      <c r="G11" s="49"/>
      <c r="H11" s="49"/>
      <c r="I11" s="49"/>
      <c r="K11" s="49"/>
      <c r="L11" s="49"/>
      <c r="M11" s="49"/>
      <c r="N11" s="49"/>
      <c r="O11" s="49"/>
      <c r="P11" s="49"/>
      <c r="Q11" s="46"/>
      <c r="R11" s="46"/>
      <c r="S11" s="46"/>
      <c r="T11" s="47"/>
      <c r="U11" s="47"/>
      <c r="V11" s="47"/>
      <c r="W11" s="46"/>
      <c r="X11" s="46"/>
      <c r="Y11" s="46"/>
      <c r="Z11" s="46"/>
      <c r="AA11" s="46"/>
    </row>
    <row r="12" spans="1:27" x14ac:dyDescent="0.25">
      <c r="A12" s="49"/>
      <c r="B12" s="49"/>
      <c r="C12" s="49"/>
      <c r="D12" s="49"/>
      <c r="E12" s="49"/>
      <c r="F12" s="49"/>
      <c r="G12" s="49"/>
      <c r="H12" s="49"/>
      <c r="I12" s="49"/>
      <c r="K12" s="49"/>
      <c r="L12" s="49"/>
      <c r="M12" s="49"/>
      <c r="N12" s="49"/>
      <c r="O12" s="49"/>
      <c r="P12" s="49"/>
      <c r="Q12" s="46"/>
      <c r="R12" s="46"/>
      <c r="S12" s="46"/>
      <c r="T12" s="47"/>
      <c r="U12" s="47"/>
      <c r="V12" s="47"/>
      <c r="W12" s="46"/>
      <c r="X12" s="46"/>
      <c r="Y12" s="46"/>
      <c r="Z12" s="46"/>
      <c r="AA12" s="46"/>
    </row>
    <row r="13" spans="1:27" ht="12.75" x14ac:dyDescent="0.2">
      <c r="A13" s="46"/>
      <c r="B13" s="46"/>
      <c r="C13" s="46"/>
      <c r="D13" s="46"/>
      <c r="E13" s="46"/>
      <c r="F13" s="46"/>
      <c r="G13" s="46"/>
      <c r="H13" s="46"/>
      <c r="I13" s="46"/>
      <c r="K13" s="46"/>
      <c r="L13" s="46"/>
      <c r="M13" s="46"/>
      <c r="N13" s="46"/>
      <c r="O13" s="46"/>
      <c r="P13" s="46"/>
      <c r="Q13" s="46"/>
      <c r="R13" s="47"/>
      <c r="S13" s="46"/>
      <c r="T13" s="46"/>
      <c r="U13" s="46"/>
      <c r="V13" s="47"/>
      <c r="W13" s="47"/>
      <c r="X13" s="47"/>
      <c r="Y13" s="46"/>
      <c r="Z13" s="46"/>
      <c r="AA13" s="46"/>
    </row>
    <row r="14" spans="1:27" ht="12.75" x14ac:dyDescent="0.2">
      <c r="A14" s="46"/>
      <c r="E14" s="46"/>
      <c r="F14" s="46"/>
      <c r="G14" s="46"/>
      <c r="H14" s="46"/>
      <c r="I14" s="46"/>
      <c r="K14" s="46"/>
      <c r="L14" s="46"/>
      <c r="M14" s="46"/>
      <c r="N14" s="46"/>
      <c r="O14" s="46"/>
      <c r="P14" s="46"/>
      <c r="Q14" s="46"/>
      <c r="R14" s="47"/>
      <c r="S14" s="46"/>
      <c r="T14" s="46"/>
      <c r="U14" s="46"/>
      <c r="V14" s="47"/>
      <c r="W14" s="47"/>
      <c r="X14" s="47"/>
      <c r="Y14" s="46"/>
      <c r="Z14" s="46"/>
      <c r="AA14" s="46"/>
    </row>
    <row r="15" spans="1:27" ht="12.75" x14ac:dyDescent="0.2">
      <c r="A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7"/>
      <c r="S15" s="46"/>
      <c r="T15" s="46"/>
      <c r="U15" s="46"/>
      <c r="V15" s="47"/>
      <c r="W15" s="47"/>
      <c r="X15" s="47"/>
      <c r="Y15" s="46"/>
      <c r="Z15" s="46"/>
      <c r="AA15" s="46"/>
    </row>
    <row r="16" spans="1:27" ht="12.75" x14ac:dyDescent="0.2">
      <c r="A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7"/>
      <c r="S16" s="46"/>
      <c r="T16" s="46"/>
      <c r="U16" s="46"/>
      <c r="V16" s="47"/>
      <c r="W16" s="47"/>
      <c r="X16" s="47"/>
      <c r="Y16" s="46"/>
      <c r="Z16" s="46"/>
      <c r="AA16" s="46"/>
    </row>
    <row r="17" spans="1:34" x14ac:dyDescent="0.25">
      <c r="A17" s="46"/>
      <c r="E17" s="46"/>
      <c r="F17" s="46"/>
      <c r="G17" s="46"/>
      <c r="H17" s="57" t="s">
        <v>50</v>
      </c>
      <c r="I17" s="58">
        <v>2</v>
      </c>
      <c r="J17" s="49"/>
      <c r="K17" s="46"/>
      <c r="L17" s="46"/>
      <c r="M17" s="57" t="s">
        <v>51</v>
      </c>
      <c r="N17" s="58">
        <v>4</v>
      </c>
      <c r="O17" s="49"/>
      <c r="P17" s="46"/>
      <c r="Q17" s="46"/>
      <c r="R17" s="47"/>
      <c r="S17" s="46"/>
      <c r="T17" s="46"/>
      <c r="U17" s="46"/>
      <c r="V17" s="47"/>
      <c r="W17" s="47"/>
      <c r="X17" s="47"/>
      <c r="Y17" s="46"/>
      <c r="Z17" s="46"/>
      <c r="AA17" s="46"/>
    </row>
    <row r="18" spans="1:34" x14ac:dyDescent="0.25">
      <c r="A18" s="46"/>
      <c r="E18" s="46"/>
      <c r="F18" s="46"/>
      <c r="G18" s="46"/>
      <c r="H18" s="59" t="s">
        <v>52</v>
      </c>
      <c r="I18" s="60">
        <f t="shared" ref="I18:I21" si="0">C37+H52</f>
        <v>144.83732936786407</v>
      </c>
      <c r="J18" s="49"/>
      <c r="K18" s="46"/>
      <c r="L18" s="46"/>
      <c r="M18" s="59" t="s">
        <v>52</v>
      </c>
      <c r="N18" s="60">
        <f t="shared" ref="N18:N21" si="1">K39</f>
        <v>57.934931747145626</v>
      </c>
      <c r="O18" s="49"/>
      <c r="P18" s="46"/>
      <c r="Q18" s="46"/>
      <c r="R18" s="46"/>
      <c r="S18" s="46"/>
      <c r="T18" s="46"/>
      <c r="U18" s="46"/>
      <c r="V18" s="47"/>
      <c r="W18" s="47"/>
      <c r="X18" s="47"/>
      <c r="Y18" s="46"/>
      <c r="Z18" s="46"/>
      <c r="AA18" s="46"/>
    </row>
    <row r="19" spans="1:34" x14ac:dyDescent="0.25">
      <c r="A19" s="46"/>
      <c r="B19" s="46"/>
      <c r="C19" s="61"/>
      <c r="D19" s="46"/>
      <c r="E19" s="46"/>
      <c r="F19" s="46"/>
      <c r="G19" s="46"/>
      <c r="H19" s="59" t="s">
        <v>53</v>
      </c>
      <c r="I19" s="60">
        <f t="shared" si="0"/>
        <v>8.0111962608500842E-2</v>
      </c>
      <c r="J19" s="49"/>
      <c r="K19" s="46"/>
      <c r="L19" s="46"/>
      <c r="M19" s="59" t="s">
        <v>53</v>
      </c>
      <c r="N19" s="60">
        <f t="shared" si="1"/>
        <v>84.359680265710693</v>
      </c>
      <c r="O19" s="49"/>
      <c r="P19" s="46"/>
      <c r="Q19" s="46"/>
      <c r="R19" s="46"/>
      <c r="S19" s="46"/>
      <c r="T19" s="46"/>
      <c r="U19" s="46"/>
      <c r="V19" s="47"/>
      <c r="W19" s="47"/>
      <c r="X19" s="47"/>
      <c r="Y19" s="46"/>
      <c r="Z19" s="46"/>
      <c r="AA19" s="46"/>
    </row>
    <row r="20" spans="1:34" x14ac:dyDescent="0.25">
      <c r="A20" s="46"/>
      <c r="E20" s="46"/>
      <c r="F20" s="46"/>
      <c r="G20" s="46"/>
      <c r="H20" s="59" t="s">
        <v>54</v>
      </c>
      <c r="I20" s="60">
        <f t="shared" si="0"/>
        <v>0.52524629982314597</v>
      </c>
      <c r="J20" s="49"/>
      <c r="K20" s="46"/>
      <c r="L20" s="46"/>
      <c r="M20" s="59" t="s">
        <v>54</v>
      </c>
      <c r="N20" s="60">
        <f t="shared" si="1"/>
        <v>84.804814602925347</v>
      </c>
      <c r="O20" s="49"/>
      <c r="P20" s="46"/>
      <c r="Q20" s="46"/>
      <c r="R20" s="46"/>
      <c r="S20" s="46"/>
      <c r="T20" s="46"/>
      <c r="U20" s="46"/>
      <c r="V20" s="47"/>
      <c r="W20" s="47"/>
      <c r="X20" s="47"/>
      <c r="Y20" s="46"/>
      <c r="Z20" s="46"/>
      <c r="AA20" s="46"/>
      <c r="AF20" s="62"/>
    </row>
    <row r="21" spans="1:34" ht="15.75" customHeight="1" x14ac:dyDescent="0.25">
      <c r="A21" s="46"/>
      <c r="E21" s="46"/>
      <c r="F21" s="46"/>
      <c r="G21" s="46"/>
      <c r="H21" s="59" t="s">
        <v>55</v>
      </c>
      <c r="I21" s="60">
        <f t="shared" si="0"/>
        <v>0.1224675065810288</v>
      </c>
      <c r="J21" s="46"/>
      <c r="K21" s="46"/>
      <c r="L21" s="46"/>
      <c r="M21" s="59" t="s">
        <v>55</v>
      </c>
      <c r="N21" s="60">
        <f t="shared" si="1"/>
        <v>2.7452968241972768</v>
      </c>
      <c r="O21" s="49"/>
      <c r="P21" s="46"/>
      <c r="Q21" s="46"/>
      <c r="R21" s="46"/>
      <c r="S21" s="46"/>
      <c r="T21" s="46"/>
      <c r="U21" s="46"/>
      <c r="V21" s="47"/>
      <c r="W21" s="47"/>
      <c r="X21" s="57" t="s">
        <v>56</v>
      </c>
      <c r="Y21" s="58">
        <v>5</v>
      </c>
      <c r="Z21" s="49"/>
      <c r="AA21" s="46"/>
      <c r="AE21" s="62"/>
    </row>
    <row r="22" spans="1:34" ht="15.75" customHeight="1" x14ac:dyDescent="0.25">
      <c r="A22" s="46"/>
      <c r="E22" s="46"/>
      <c r="F22" s="46"/>
      <c r="G22" s="46"/>
      <c r="H22" s="59" t="s">
        <v>57</v>
      </c>
      <c r="I22" s="63">
        <f>SUM(I18:I21)</f>
        <v>145.56515513687674</v>
      </c>
      <c r="J22" s="46"/>
      <c r="K22" s="46"/>
      <c r="L22" s="46"/>
      <c r="M22" s="59" t="s">
        <v>57</v>
      </c>
      <c r="N22" s="63">
        <f>SUM(N18:N21)</f>
        <v>229.84472343997894</v>
      </c>
      <c r="O22" s="49"/>
      <c r="P22" s="46"/>
      <c r="Q22" s="46"/>
      <c r="R22" s="46"/>
      <c r="S22" s="46"/>
      <c r="T22" s="46"/>
      <c r="U22" s="46"/>
      <c r="V22" s="47"/>
      <c r="W22" s="47"/>
      <c r="X22" s="59" t="s">
        <v>52</v>
      </c>
      <c r="Y22" s="63">
        <f t="shared" ref="Y22:Y25" si="2">R25*K39</f>
        <v>0</v>
      </c>
      <c r="Z22" s="49"/>
      <c r="AA22" s="46"/>
      <c r="AE22" s="62"/>
      <c r="AF22" s="62"/>
      <c r="AG22" s="62"/>
      <c r="AH22" s="62"/>
    </row>
    <row r="23" spans="1:34" ht="15.75" customHeight="1" x14ac:dyDescent="0.25">
      <c r="A23" s="46"/>
      <c r="E23" s="46"/>
      <c r="F23" s="46"/>
      <c r="G23" s="46"/>
      <c r="H23" s="64" t="s">
        <v>58</v>
      </c>
      <c r="I23" s="65">
        <f>112+273.15</f>
        <v>385.15</v>
      </c>
      <c r="J23" s="46"/>
      <c r="K23" s="46"/>
      <c r="L23" s="46"/>
      <c r="M23" s="64" t="s">
        <v>58</v>
      </c>
      <c r="N23" s="65">
        <v>305</v>
      </c>
      <c r="O23" s="49"/>
      <c r="P23" s="46"/>
      <c r="Q23" s="57"/>
      <c r="R23" s="66" t="s">
        <v>59</v>
      </c>
      <c r="S23" s="66"/>
      <c r="T23" s="46"/>
      <c r="U23" s="46"/>
      <c r="V23" s="47"/>
      <c r="W23" s="47"/>
      <c r="X23" s="59" t="s">
        <v>53</v>
      </c>
      <c r="Y23" s="63">
        <f t="shared" si="2"/>
        <v>84.270666973960559</v>
      </c>
      <c r="Z23" s="49"/>
      <c r="AA23" s="46"/>
      <c r="AE23" s="62"/>
      <c r="AF23" s="62"/>
      <c r="AG23" s="62"/>
      <c r="AH23" s="62"/>
    </row>
    <row r="24" spans="1:34" ht="15.75" customHeight="1" x14ac:dyDescent="0.25">
      <c r="A24" s="46"/>
      <c r="E24" s="46"/>
      <c r="F24" s="46"/>
      <c r="G24" s="46"/>
      <c r="H24" s="67" t="s">
        <v>60</v>
      </c>
      <c r="I24" s="67">
        <v>26</v>
      </c>
      <c r="J24" s="46"/>
      <c r="K24" s="46"/>
      <c r="L24" s="46"/>
      <c r="M24" s="67" t="s">
        <v>60</v>
      </c>
      <c r="N24" s="67">
        <v>12</v>
      </c>
      <c r="O24" s="46"/>
      <c r="P24" s="46"/>
      <c r="Q24" s="59"/>
      <c r="R24" s="66" t="s">
        <v>61</v>
      </c>
      <c r="S24" s="66" t="s">
        <v>62</v>
      </c>
      <c r="T24" s="46"/>
      <c r="U24" s="46"/>
      <c r="V24" s="47"/>
      <c r="W24" s="47"/>
      <c r="X24" s="59" t="s">
        <v>54</v>
      </c>
      <c r="Y24" s="63">
        <f t="shared" si="2"/>
        <v>0</v>
      </c>
      <c r="Z24" s="49"/>
      <c r="AA24" s="46"/>
    </row>
    <row r="25" spans="1:34" ht="15.75" customHeight="1" x14ac:dyDescent="0.25">
      <c r="A25" s="46"/>
      <c r="E25" s="46"/>
      <c r="F25" s="46"/>
      <c r="G25" s="46"/>
      <c r="J25" s="46"/>
      <c r="K25" s="46"/>
      <c r="L25" s="46"/>
      <c r="O25" s="46"/>
      <c r="P25" s="46"/>
      <c r="Q25" s="59" t="s">
        <v>52</v>
      </c>
      <c r="R25" s="63">
        <v>0</v>
      </c>
      <c r="S25" s="63">
        <v>1</v>
      </c>
      <c r="T25" s="46"/>
      <c r="U25" s="46"/>
      <c r="V25" s="47"/>
      <c r="W25" s="47"/>
      <c r="X25" s="59" t="s">
        <v>55</v>
      </c>
      <c r="Y25" s="63">
        <f t="shared" si="2"/>
        <v>0</v>
      </c>
      <c r="Z25" s="49"/>
      <c r="AA25" s="46"/>
    </row>
    <row r="26" spans="1:34" ht="15.75" customHeight="1" x14ac:dyDescent="0.25">
      <c r="A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59" t="s">
        <v>53</v>
      </c>
      <c r="R26" s="68">
        <v>0.99894483607014906</v>
      </c>
      <c r="S26" s="63">
        <f t="shared" ref="S26:S28" si="3">1-R26</f>
        <v>1.0551639298509441E-3</v>
      </c>
      <c r="T26" s="46"/>
      <c r="U26" s="46"/>
      <c r="V26" s="47"/>
      <c r="W26" s="47"/>
      <c r="X26" s="59" t="s">
        <v>57</v>
      </c>
      <c r="Y26" s="63">
        <f>SUM((Y22:Y25))</f>
        <v>84.270666973960559</v>
      </c>
      <c r="Z26" s="49"/>
      <c r="AA26" s="46"/>
      <c r="AE26" s="62"/>
    </row>
    <row r="27" spans="1:34" ht="15.75" customHeight="1" x14ac:dyDescent="0.25">
      <c r="A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62"/>
      <c r="P27" s="46"/>
      <c r="Q27" s="59" t="s">
        <v>54</v>
      </c>
      <c r="R27" s="63">
        <v>0</v>
      </c>
      <c r="S27" s="63">
        <f t="shared" si="3"/>
        <v>1</v>
      </c>
      <c r="T27" s="47"/>
      <c r="U27" s="46"/>
      <c r="V27" s="47"/>
      <c r="W27" s="47"/>
      <c r="X27" s="64" t="s">
        <v>58</v>
      </c>
      <c r="Y27" s="65">
        <f>-26.2+273.15</f>
        <v>246.95</v>
      </c>
      <c r="Z27" s="49"/>
      <c r="AA27" s="46"/>
      <c r="AE27" s="62"/>
      <c r="AF27" s="62"/>
      <c r="AG27" s="62"/>
      <c r="AH27" s="62"/>
    </row>
    <row r="28" spans="1:34" ht="15.75" customHeight="1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59" t="s">
        <v>55</v>
      </c>
      <c r="R28" s="63">
        <v>0</v>
      </c>
      <c r="S28" s="63">
        <f t="shared" si="3"/>
        <v>1</v>
      </c>
      <c r="T28" s="47"/>
      <c r="U28" s="46"/>
      <c r="V28" s="47"/>
      <c r="W28" s="47"/>
      <c r="X28" s="67" t="s">
        <v>60</v>
      </c>
      <c r="Y28" s="69">
        <v>12</v>
      </c>
      <c r="Z28" s="46"/>
      <c r="AA28" s="46"/>
      <c r="AE28" s="62"/>
      <c r="AF28" s="62"/>
      <c r="AG28" s="62"/>
      <c r="AH28" s="62"/>
    </row>
    <row r="29" spans="1:34" ht="15.75" customHeight="1" x14ac:dyDescent="0.2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T29" s="47"/>
      <c r="U29" s="46"/>
      <c r="V29" s="47"/>
      <c r="W29" s="47"/>
      <c r="Z29" s="46"/>
      <c r="AA29" s="46"/>
    </row>
    <row r="30" spans="1:34" ht="15.75" customHeight="1" x14ac:dyDescent="0.2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T30" s="47"/>
      <c r="U30" s="46"/>
      <c r="V30" s="47"/>
      <c r="W30" s="47"/>
      <c r="X30" s="46"/>
      <c r="Y30" s="61"/>
      <c r="Z30" s="46"/>
      <c r="AA30" s="46"/>
    </row>
    <row r="31" spans="1:34" ht="15.75" customHeight="1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T31" s="47"/>
      <c r="U31" s="46"/>
      <c r="V31" s="47"/>
      <c r="W31" s="47"/>
      <c r="X31" s="46"/>
      <c r="Y31" s="61"/>
      <c r="Z31" s="46"/>
      <c r="AA31" s="46"/>
      <c r="AE31" s="62"/>
      <c r="AF31" s="62"/>
      <c r="AG31" s="62"/>
    </row>
    <row r="32" spans="1:34" ht="15.75" customHeight="1" x14ac:dyDescent="0.25">
      <c r="A32" s="46"/>
      <c r="B32" s="46"/>
      <c r="C32" s="46"/>
      <c r="D32" s="46"/>
      <c r="E32" s="46"/>
      <c r="F32" s="62"/>
      <c r="G32" s="46"/>
      <c r="H32" s="46"/>
      <c r="I32" s="46"/>
      <c r="J32" s="46"/>
      <c r="K32" s="46"/>
      <c r="L32" s="46"/>
      <c r="M32" s="46"/>
      <c r="N32" s="46"/>
      <c r="O32" s="46"/>
      <c r="P32" s="46"/>
      <c r="T32" s="47"/>
      <c r="U32" s="46"/>
      <c r="V32" s="47"/>
      <c r="W32" s="47"/>
      <c r="AA32" s="46"/>
      <c r="AE32" s="62"/>
      <c r="AF32" s="62"/>
      <c r="AG32" s="62"/>
      <c r="AH32" s="62"/>
    </row>
    <row r="33" spans="1:39" ht="15.75" customHeight="1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20"/>
      <c r="S33" s="20"/>
      <c r="T33" s="47"/>
      <c r="U33" s="46"/>
      <c r="V33" s="47"/>
      <c r="W33" s="47"/>
      <c r="AA33" s="46"/>
      <c r="AE33" s="62"/>
      <c r="AF33" s="62"/>
      <c r="AG33" s="62"/>
      <c r="AH33" s="62"/>
    </row>
    <row r="34" spans="1:39" ht="15.75" customHeight="1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N34" s="46"/>
      <c r="O34" s="46"/>
      <c r="P34" s="46"/>
      <c r="Q34" s="46"/>
      <c r="R34" s="20"/>
      <c r="S34" s="20"/>
      <c r="T34" s="47"/>
      <c r="U34" s="46"/>
      <c r="V34" s="47"/>
      <c r="W34" s="47"/>
      <c r="AA34" s="46"/>
      <c r="AE34" s="62"/>
      <c r="AF34" s="62"/>
      <c r="AG34" s="62"/>
    </row>
    <row r="35" spans="1:39" ht="15.75" customHeight="1" x14ac:dyDescent="0.25">
      <c r="A35" s="46"/>
      <c r="B35" s="46"/>
      <c r="C35" s="46"/>
      <c r="D35" s="46"/>
      <c r="E35" s="46"/>
      <c r="F35" s="46"/>
      <c r="G35" s="46"/>
      <c r="H35" s="46"/>
      <c r="I35" s="46"/>
      <c r="K35" s="46"/>
      <c r="P35" s="46"/>
      <c r="Q35" s="46"/>
      <c r="R35" s="20"/>
      <c r="S35" s="20"/>
      <c r="T35" s="47"/>
      <c r="U35" s="46"/>
      <c r="V35" s="47"/>
      <c r="W35" s="47"/>
      <c r="X35" s="47"/>
      <c r="Y35" s="46"/>
      <c r="Z35" s="46"/>
      <c r="AA35" s="46"/>
      <c r="AE35" s="62"/>
      <c r="AF35" s="62"/>
      <c r="AG35" s="62"/>
    </row>
    <row r="36" spans="1:39" ht="15.75" customHeight="1" x14ac:dyDescent="0.25">
      <c r="A36" s="46"/>
      <c r="B36" s="57" t="s">
        <v>52</v>
      </c>
      <c r="C36" s="58">
        <v>1</v>
      </c>
      <c r="D36" s="49"/>
      <c r="E36" s="46"/>
      <c r="F36" s="46"/>
      <c r="G36" s="46"/>
      <c r="H36" s="46"/>
      <c r="I36" s="46"/>
      <c r="P36" s="46"/>
      <c r="Q36" s="46"/>
      <c r="R36" s="20"/>
      <c r="S36" s="20"/>
      <c r="T36" s="47"/>
      <c r="U36" s="46"/>
      <c r="V36" s="47"/>
      <c r="W36" s="47"/>
      <c r="X36" s="47"/>
      <c r="Y36" s="46"/>
      <c r="Z36" s="46"/>
      <c r="AA36" s="46"/>
      <c r="AE36" s="62"/>
    </row>
    <row r="37" spans="1:39" ht="15.75" customHeight="1" x14ac:dyDescent="0.25">
      <c r="A37" s="46"/>
      <c r="B37" s="59" t="s">
        <v>52</v>
      </c>
      <c r="C37" s="60">
        <v>92.695893691126145</v>
      </c>
      <c r="D37" s="49"/>
      <c r="E37" s="46"/>
      <c r="F37" s="46"/>
      <c r="G37" s="46"/>
      <c r="H37" s="46"/>
      <c r="I37" s="46"/>
      <c r="P37" s="46"/>
      <c r="Q37" s="46"/>
      <c r="R37" s="20"/>
      <c r="S37" s="20"/>
      <c r="T37" s="47"/>
      <c r="U37" s="46"/>
      <c r="V37" s="47"/>
      <c r="W37" s="47"/>
      <c r="X37" s="47"/>
      <c r="Y37" s="46"/>
      <c r="Z37" s="46"/>
      <c r="AA37" s="46"/>
      <c r="AE37" s="62"/>
      <c r="AF37" s="62"/>
      <c r="AG37" s="62"/>
      <c r="AH37" s="62"/>
    </row>
    <row r="38" spans="1:39" ht="15.75" customHeight="1" x14ac:dyDescent="0.25">
      <c r="A38" s="46"/>
      <c r="B38" s="59" t="s">
        <v>53</v>
      </c>
      <c r="C38" s="60">
        <v>0</v>
      </c>
      <c r="D38" s="49"/>
      <c r="E38" s="46"/>
      <c r="F38" s="46"/>
      <c r="G38" s="70" t="s">
        <v>63</v>
      </c>
      <c r="H38" s="46"/>
      <c r="J38" s="57" t="s">
        <v>64</v>
      </c>
      <c r="K38" s="58">
        <v>3</v>
      </c>
      <c r="L38" s="49"/>
      <c r="P38" s="46"/>
      <c r="Q38" s="46"/>
      <c r="R38" s="20"/>
      <c r="S38" s="20"/>
      <c r="T38" s="47"/>
      <c r="U38" s="46"/>
      <c r="V38" s="47"/>
      <c r="W38" s="47"/>
      <c r="X38" s="47"/>
      <c r="Y38" s="46"/>
      <c r="Z38" s="46"/>
      <c r="AA38" s="46"/>
      <c r="AE38" s="62"/>
      <c r="AF38" s="62"/>
      <c r="AG38" s="62"/>
      <c r="AH38" s="62"/>
    </row>
    <row r="39" spans="1:39" ht="15.75" customHeight="1" x14ac:dyDescent="0.25">
      <c r="A39" s="46"/>
      <c r="B39" s="59" t="s">
        <v>54</v>
      </c>
      <c r="C39" s="60">
        <v>0</v>
      </c>
      <c r="D39" s="49"/>
      <c r="E39" s="46"/>
      <c r="F39" s="46"/>
      <c r="G39" s="70">
        <f>I18/(I22)</f>
        <v>0.99500000004583322</v>
      </c>
      <c r="H39" s="46"/>
      <c r="I39" s="71">
        <f t="shared" ref="I39:I42" si="4">I18+$I$135*B135</f>
        <v>57.934931747145626</v>
      </c>
      <c r="J39" s="59" t="s">
        <v>52</v>
      </c>
      <c r="K39" s="72">
        <f t="shared" ref="K39:K42" si="5">I39+$I$136*C135</f>
        <v>57.934931747145626</v>
      </c>
      <c r="L39" s="49"/>
      <c r="P39" s="46"/>
      <c r="Q39" s="46"/>
      <c r="R39" s="46"/>
      <c r="S39" s="46"/>
      <c r="T39" s="46"/>
      <c r="U39" s="57" t="s">
        <v>65</v>
      </c>
      <c r="V39" s="58">
        <v>6</v>
      </c>
      <c r="W39" s="49"/>
      <c r="X39" s="47"/>
      <c r="Y39" s="46"/>
      <c r="Z39" s="46"/>
      <c r="AA39" s="46"/>
    </row>
    <row r="40" spans="1:39" ht="15.75" customHeight="1" x14ac:dyDescent="0.25">
      <c r="A40" s="46"/>
      <c r="B40" s="59" t="s">
        <v>55</v>
      </c>
      <c r="C40" s="60">
        <v>0</v>
      </c>
      <c r="D40" s="49"/>
      <c r="E40" s="46"/>
      <c r="F40" s="46"/>
      <c r="G40" s="46"/>
      <c r="H40" s="46"/>
      <c r="I40" s="71">
        <f t="shared" si="4"/>
        <v>86.982509583326944</v>
      </c>
      <c r="J40" s="59" t="s">
        <v>53</v>
      </c>
      <c r="K40" s="72">
        <f t="shared" si="5"/>
        <v>84.359680265710693</v>
      </c>
      <c r="L40" s="49"/>
      <c r="P40" s="46"/>
      <c r="Q40" s="46"/>
      <c r="R40" s="46"/>
      <c r="S40" s="46"/>
      <c r="T40" s="46"/>
      <c r="U40" s="59" t="s">
        <v>52</v>
      </c>
      <c r="V40" s="73">
        <f t="shared" ref="V40:V43" si="6">S25*K39</f>
        <v>57.934931747145626</v>
      </c>
      <c r="W40" s="49"/>
      <c r="X40" s="46"/>
      <c r="Y40" s="46"/>
      <c r="Z40" s="46"/>
      <c r="AA40" s="46"/>
      <c r="AE40" s="62"/>
    </row>
    <row r="41" spans="1:39" ht="15.75" customHeight="1" x14ac:dyDescent="0.25">
      <c r="A41" s="46"/>
      <c r="B41" s="59" t="s">
        <v>57</v>
      </c>
      <c r="C41" s="63">
        <f>SUM(C37:C40)</f>
        <v>92.695893691126145</v>
      </c>
      <c r="D41" s="49"/>
      <c r="E41" s="46"/>
      <c r="F41" s="46"/>
      <c r="G41" s="46"/>
      <c r="H41" s="46"/>
      <c r="I41" s="71">
        <f t="shared" si="4"/>
        <v>87.427643920541598</v>
      </c>
      <c r="J41" s="59" t="s">
        <v>54</v>
      </c>
      <c r="K41" s="72">
        <f t="shared" si="5"/>
        <v>84.804814602925347</v>
      </c>
      <c r="L41" s="49"/>
      <c r="P41" s="46"/>
      <c r="Q41" s="46"/>
      <c r="R41" s="46"/>
      <c r="S41" s="46"/>
      <c r="T41" s="46"/>
      <c r="U41" s="59" t="s">
        <v>53</v>
      </c>
      <c r="V41" s="74">
        <f t="shared" si="6"/>
        <v>8.9013291750136433E-2</v>
      </c>
      <c r="W41" s="49"/>
      <c r="X41" s="46"/>
      <c r="Y41" s="46"/>
      <c r="Z41" s="46"/>
      <c r="AA41" s="46"/>
      <c r="AE41" s="62"/>
      <c r="AF41" s="62"/>
      <c r="AG41" s="62"/>
      <c r="AH41" s="62"/>
    </row>
    <row r="42" spans="1:39" ht="15.75" customHeight="1" x14ac:dyDescent="0.25">
      <c r="A42" s="46"/>
      <c r="B42" s="64" t="s">
        <v>58</v>
      </c>
      <c r="C42" s="65">
        <f>100+273.15</f>
        <v>373.15</v>
      </c>
      <c r="D42" s="49"/>
      <c r="E42" s="46"/>
      <c r="F42" s="46"/>
      <c r="G42" s="46"/>
      <c r="H42" s="46"/>
      <c r="I42" s="71">
        <f t="shared" si="4"/>
        <v>0.1224675065810288</v>
      </c>
      <c r="J42" s="59" t="s">
        <v>55</v>
      </c>
      <c r="K42" s="72">
        <f t="shared" si="5"/>
        <v>2.7452968241972768</v>
      </c>
      <c r="L42" s="49"/>
      <c r="P42" s="46"/>
      <c r="Q42" s="46"/>
      <c r="R42" s="46"/>
      <c r="S42" s="46"/>
      <c r="T42" s="47"/>
      <c r="U42" s="59" t="s">
        <v>54</v>
      </c>
      <c r="V42" s="73">
        <f t="shared" si="6"/>
        <v>84.804814602925347</v>
      </c>
      <c r="W42" s="49"/>
      <c r="X42" s="46"/>
      <c r="Y42" s="46"/>
      <c r="Z42" s="46"/>
      <c r="AA42" s="46"/>
      <c r="AE42" s="62"/>
      <c r="AF42" s="62"/>
      <c r="AG42" s="62"/>
      <c r="AH42" s="62"/>
    </row>
    <row r="43" spans="1:39" ht="15.75" customHeight="1" x14ac:dyDescent="0.25">
      <c r="A43" s="46"/>
      <c r="B43" s="67" t="s">
        <v>66</v>
      </c>
      <c r="C43" s="67">
        <v>26</v>
      </c>
      <c r="D43" s="46"/>
      <c r="E43" s="46"/>
      <c r="F43" s="46"/>
      <c r="G43" s="46"/>
      <c r="H43" s="46"/>
      <c r="J43" s="59" t="s">
        <v>57</v>
      </c>
      <c r="K43" s="63">
        <f>SUM(K39:K42)</f>
        <v>229.84472343997894</v>
      </c>
      <c r="L43" s="49"/>
      <c r="O43" s="46"/>
      <c r="P43" s="46"/>
      <c r="Q43" s="46"/>
      <c r="R43" s="46"/>
      <c r="S43" s="46"/>
      <c r="T43" s="47"/>
      <c r="U43" s="59" t="s">
        <v>55</v>
      </c>
      <c r="V43" s="73">
        <f t="shared" si="6"/>
        <v>2.7452968241972768</v>
      </c>
      <c r="W43" s="49"/>
      <c r="X43" s="46"/>
      <c r="Y43" s="46"/>
      <c r="Z43" s="46"/>
      <c r="AA43" s="46"/>
    </row>
    <row r="44" spans="1:39" ht="15.75" customHeight="1" x14ac:dyDescent="0.25">
      <c r="A44" s="46"/>
      <c r="D44" s="46"/>
      <c r="E44" s="46"/>
      <c r="F44" s="46"/>
      <c r="G44" s="46"/>
      <c r="H44" s="46"/>
      <c r="J44" s="64" t="s">
        <v>58</v>
      </c>
      <c r="K44" s="75">
        <f>500+273.15</f>
        <v>773.15</v>
      </c>
      <c r="L44" s="49"/>
      <c r="O44" s="46"/>
      <c r="P44" s="46"/>
      <c r="Q44" s="46"/>
      <c r="R44" s="46"/>
      <c r="S44" s="46"/>
      <c r="T44" s="47"/>
      <c r="U44" s="59" t="s">
        <v>57</v>
      </c>
      <c r="V44" s="63">
        <f>SUM(V40:V43)</f>
        <v>145.57405646601839</v>
      </c>
      <c r="W44" s="49"/>
      <c r="Y44" s="46"/>
      <c r="Z44" s="46"/>
      <c r="AA44" s="46"/>
    </row>
    <row r="45" spans="1:39" ht="15.75" customHeight="1" x14ac:dyDescent="0.25">
      <c r="A45" s="46"/>
      <c r="E45" s="46"/>
      <c r="F45" s="47"/>
      <c r="G45" s="46"/>
      <c r="H45" s="46"/>
      <c r="J45" s="67" t="s">
        <v>60</v>
      </c>
      <c r="K45" s="67">
        <v>26</v>
      </c>
      <c r="L45" s="46"/>
      <c r="O45" s="46"/>
      <c r="P45" s="46"/>
      <c r="Q45" s="46"/>
      <c r="R45" s="46"/>
      <c r="S45" s="46"/>
      <c r="T45" s="47"/>
      <c r="U45" s="64" t="s">
        <v>58</v>
      </c>
      <c r="V45" s="65">
        <f>357.86</f>
        <v>357.86</v>
      </c>
      <c r="W45" s="49"/>
      <c r="Y45" s="46"/>
      <c r="Z45" s="46"/>
      <c r="AA45" s="46"/>
    </row>
    <row r="46" spans="1:39" ht="15.75" customHeight="1" x14ac:dyDescent="0.25">
      <c r="A46" s="46"/>
      <c r="E46" s="46"/>
      <c r="F46" s="46"/>
      <c r="G46" s="46"/>
      <c r="H46" s="47"/>
      <c r="I46" s="46"/>
      <c r="L46" s="46"/>
      <c r="O46" s="62"/>
      <c r="P46" s="46"/>
      <c r="Q46" s="46"/>
      <c r="R46" s="46"/>
      <c r="S46" s="46"/>
      <c r="T46" s="47"/>
      <c r="U46" s="67" t="s">
        <v>60</v>
      </c>
      <c r="V46" s="62">
        <v>12</v>
      </c>
      <c r="W46" s="46"/>
      <c r="Y46" s="46"/>
      <c r="Z46" s="46"/>
      <c r="AA46" s="46"/>
    </row>
    <row r="47" spans="1:39" ht="15.75" customHeight="1" x14ac:dyDescent="0.25">
      <c r="A47" s="46"/>
      <c r="E47" s="46"/>
      <c r="O47" s="62"/>
      <c r="P47" s="46"/>
      <c r="Q47" s="46"/>
      <c r="R47" s="46"/>
      <c r="S47" s="46"/>
      <c r="T47" s="47"/>
      <c r="Y47" s="46"/>
      <c r="Z47" s="46"/>
      <c r="AA47" s="46"/>
      <c r="AJ47" s="62"/>
      <c r="AK47" s="62"/>
      <c r="AL47" s="62"/>
    </row>
    <row r="48" spans="1:39" ht="15.75" customHeight="1" x14ac:dyDescent="0.25">
      <c r="A48" s="46"/>
      <c r="B48" s="46"/>
      <c r="C48" s="20"/>
      <c r="D48" s="46"/>
      <c r="E48" s="46"/>
      <c r="P48" s="46"/>
      <c r="Q48" s="46"/>
      <c r="R48" s="46"/>
      <c r="S48" s="46"/>
      <c r="T48" s="47"/>
      <c r="U48" s="46"/>
      <c r="Y48" s="46"/>
      <c r="Z48" s="46"/>
      <c r="AA48" s="46"/>
      <c r="AJ48" s="62"/>
      <c r="AK48" s="62"/>
      <c r="AL48" s="62"/>
      <c r="AM48" s="62"/>
    </row>
    <row r="49" spans="1:36" ht="15.75" customHeight="1" x14ac:dyDescent="0.25">
      <c r="A49" s="46"/>
      <c r="B49" s="46"/>
      <c r="C49" s="46"/>
      <c r="D49" s="46"/>
      <c r="E49" s="46"/>
      <c r="P49" s="46"/>
      <c r="Q49" s="46"/>
      <c r="R49" s="46"/>
      <c r="S49" s="46"/>
      <c r="T49" s="47"/>
      <c r="U49" s="46"/>
      <c r="V49" s="46"/>
      <c r="W49" s="61"/>
      <c r="X49" s="46"/>
      <c r="Y49" s="46"/>
      <c r="Z49" s="46"/>
      <c r="AA49" s="46"/>
      <c r="AJ49" s="62"/>
    </row>
    <row r="50" spans="1:36" ht="15.75" customHeight="1" x14ac:dyDescent="0.25">
      <c r="A50" s="46"/>
      <c r="B50" s="46"/>
      <c r="C50" s="46"/>
      <c r="D50" s="46"/>
      <c r="E50" s="46"/>
      <c r="F50" s="47"/>
      <c r="G50" s="47"/>
      <c r="H50" s="46"/>
      <c r="I50" s="46"/>
      <c r="J50" s="46"/>
      <c r="M50" s="62">
        <f>(92.7*98.96/1000)*3600</f>
        <v>33024.931200000006</v>
      </c>
      <c r="O50" s="46"/>
      <c r="P50" s="46"/>
      <c r="Q50" s="46"/>
      <c r="R50" s="46"/>
      <c r="S50" s="46"/>
      <c r="T50" s="46"/>
      <c r="U50" s="46"/>
      <c r="V50" s="47"/>
      <c r="W50" s="47"/>
      <c r="X50" s="57" t="s">
        <v>67</v>
      </c>
      <c r="Y50" s="58">
        <v>7</v>
      </c>
      <c r="Z50" s="49"/>
      <c r="AB50" s="76" t="s">
        <v>68</v>
      </c>
      <c r="AC50" s="76" t="s">
        <v>69</v>
      </c>
      <c r="AD50" s="76" t="s">
        <v>24</v>
      </c>
    </row>
    <row r="51" spans="1:36" ht="15.75" customHeight="1" x14ac:dyDescent="0.25">
      <c r="A51" s="46"/>
      <c r="B51" s="62"/>
      <c r="C51" s="46"/>
      <c r="D51" s="46"/>
      <c r="E51" s="46"/>
      <c r="F51" s="47"/>
      <c r="G51" s="57" t="s">
        <v>70</v>
      </c>
      <c r="H51" s="58">
        <v>12</v>
      </c>
      <c r="I51" s="49"/>
      <c r="J51" s="46"/>
      <c r="O51" s="46"/>
      <c r="P51" s="46"/>
      <c r="Q51" s="46"/>
      <c r="R51" s="46"/>
      <c r="S51" s="46"/>
      <c r="T51" s="46"/>
      <c r="U51" s="46"/>
      <c r="V51" s="47"/>
      <c r="W51" s="47"/>
      <c r="X51" s="59" t="s">
        <v>52</v>
      </c>
      <c r="Y51" s="63">
        <f t="shared" ref="Y51:Y54" si="7">R56*V40</f>
        <v>0</v>
      </c>
      <c r="Z51" s="49"/>
      <c r="AB51" s="77">
        <v>166000</v>
      </c>
      <c r="AC51" s="77">
        <f>AB51*10^6/(365*24*3600)</f>
        <v>5263.8254693049212</v>
      </c>
      <c r="AD51" s="77">
        <f>AC51/AE92</f>
        <v>84.2239026737643</v>
      </c>
    </row>
    <row r="52" spans="1:36" ht="15.75" customHeight="1" x14ac:dyDescent="0.25">
      <c r="A52" s="46"/>
      <c r="B52" s="46"/>
      <c r="C52" s="46"/>
      <c r="D52" s="46"/>
      <c r="E52" s="78"/>
      <c r="F52" s="47"/>
      <c r="G52" s="59" t="s">
        <v>52</v>
      </c>
      <c r="H52" s="68">
        <v>52.141435676737935</v>
      </c>
      <c r="I52" s="49"/>
      <c r="J52" s="46"/>
      <c r="O52" s="46"/>
      <c r="P52" s="46"/>
      <c r="Q52" s="46"/>
      <c r="R52" s="46"/>
      <c r="S52" s="46"/>
      <c r="T52" s="46"/>
      <c r="U52" s="46"/>
      <c r="V52" s="47"/>
      <c r="W52" s="46"/>
      <c r="X52" s="59" t="s">
        <v>53</v>
      </c>
      <c r="Y52" s="63">
        <f t="shared" si="7"/>
        <v>8.9013291750136433E-2</v>
      </c>
      <c r="Z52" s="49"/>
    </row>
    <row r="53" spans="1:36" ht="15.75" customHeight="1" x14ac:dyDescent="0.25">
      <c r="A53" s="46"/>
      <c r="B53" s="46"/>
      <c r="C53" s="46"/>
      <c r="D53" s="46"/>
      <c r="E53" s="46"/>
      <c r="F53" s="47"/>
      <c r="G53" s="59" t="s">
        <v>53</v>
      </c>
      <c r="H53" s="68">
        <v>8.0111962608500842E-2</v>
      </c>
      <c r="I53" s="49"/>
      <c r="J53" s="46"/>
      <c r="M53" s="46"/>
      <c r="N53" s="46"/>
      <c r="O53" s="46"/>
      <c r="P53" s="46"/>
      <c r="Q53" s="46"/>
      <c r="R53" s="46"/>
      <c r="S53" s="46"/>
      <c r="T53" s="46"/>
      <c r="U53" s="46"/>
      <c r="V53" s="47"/>
      <c r="W53" s="46"/>
      <c r="X53" s="59" t="s">
        <v>54</v>
      </c>
      <c r="Y53" s="63">
        <f t="shared" si="7"/>
        <v>84.221207602741373</v>
      </c>
      <c r="Z53" s="49"/>
    </row>
    <row r="54" spans="1:36" ht="15.75" customHeight="1" x14ac:dyDescent="0.25">
      <c r="A54" s="46"/>
      <c r="B54" s="46"/>
      <c r="C54" s="46"/>
      <c r="D54" s="46"/>
      <c r="E54" s="78"/>
      <c r="F54" s="47"/>
      <c r="G54" s="59" t="s">
        <v>54</v>
      </c>
      <c r="H54" s="68">
        <v>0.52524629982314597</v>
      </c>
      <c r="I54" s="49"/>
      <c r="J54" s="46"/>
      <c r="M54" s="46"/>
      <c r="N54" s="46"/>
      <c r="O54" s="46"/>
      <c r="P54" s="46"/>
      <c r="Q54" s="57"/>
      <c r="R54" s="66" t="s">
        <v>59</v>
      </c>
      <c r="S54" s="66"/>
      <c r="T54" s="46"/>
      <c r="U54" s="46"/>
      <c r="V54" s="47"/>
      <c r="W54" s="46"/>
      <c r="X54" s="59" t="s">
        <v>55</v>
      </c>
      <c r="Y54" s="63">
        <f t="shared" si="7"/>
        <v>0</v>
      </c>
      <c r="Z54" s="49"/>
    </row>
    <row r="55" spans="1:36" ht="15.75" customHeight="1" x14ac:dyDescent="0.25">
      <c r="A55" s="46"/>
      <c r="B55" s="46"/>
      <c r="C55" s="46"/>
      <c r="D55" s="46"/>
      <c r="E55" s="46"/>
      <c r="F55" s="47"/>
      <c r="G55" s="59" t="s">
        <v>55</v>
      </c>
      <c r="H55" s="68">
        <v>0.1224675065810288</v>
      </c>
      <c r="I55" s="49"/>
      <c r="J55" s="46"/>
      <c r="M55" s="46"/>
      <c r="N55" s="46"/>
      <c r="O55" s="46"/>
      <c r="P55" s="46"/>
      <c r="Q55" s="59"/>
      <c r="R55" s="66" t="s">
        <v>61</v>
      </c>
      <c r="S55" s="66" t="s">
        <v>62</v>
      </c>
      <c r="T55" s="46"/>
      <c r="U55" s="46"/>
      <c r="V55" s="47"/>
      <c r="W55" s="46"/>
      <c r="X55" s="59" t="s">
        <v>57</v>
      </c>
      <c r="Y55" s="63">
        <f>SUM((Y51:Y54))</f>
        <v>84.310220894491508</v>
      </c>
      <c r="Z55" s="49"/>
    </row>
    <row r="56" spans="1:36" ht="15.75" customHeight="1" x14ac:dyDescent="0.25">
      <c r="A56" s="46"/>
      <c r="B56" s="46"/>
      <c r="C56" s="46"/>
      <c r="D56" s="46"/>
      <c r="E56" s="78"/>
      <c r="F56" s="47"/>
      <c r="G56" s="59" t="s">
        <v>57</v>
      </c>
      <c r="H56" s="63">
        <f>SUM(H52:H55)</f>
        <v>52.86926144575061</v>
      </c>
      <c r="I56" s="49"/>
      <c r="J56" s="46"/>
      <c r="M56" s="46"/>
      <c r="N56" s="46"/>
      <c r="O56" s="46"/>
      <c r="P56" s="46"/>
      <c r="Q56" s="59" t="s">
        <v>52</v>
      </c>
      <c r="R56" s="63">
        <v>0</v>
      </c>
      <c r="S56" s="63">
        <f t="shared" ref="S56:S59" si="8">1-R56</f>
        <v>1</v>
      </c>
      <c r="T56" s="46"/>
      <c r="U56" s="46"/>
      <c r="V56" s="47"/>
      <c r="W56" s="46"/>
      <c r="X56" s="64" t="s">
        <v>58</v>
      </c>
      <c r="Y56" s="65">
        <v>305.19</v>
      </c>
      <c r="Z56" s="49"/>
    </row>
    <row r="57" spans="1:36" ht="15.75" customHeight="1" x14ac:dyDescent="0.25">
      <c r="A57" s="46"/>
      <c r="B57" s="46"/>
      <c r="C57" s="46"/>
      <c r="D57" s="46"/>
      <c r="E57" s="46"/>
      <c r="F57" s="47"/>
      <c r="G57" s="64" t="s">
        <v>58</v>
      </c>
      <c r="H57" s="65">
        <v>416.64</v>
      </c>
      <c r="I57" s="49"/>
      <c r="J57" s="46"/>
      <c r="M57" s="46"/>
      <c r="N57" s="46"/>
      <c r="O57" s="46"/>
      <c r="P57" s="46"/>
      <c r="Q57" s="59" t="s">
        <v>53</v>
      </c>
      <c r="R57" s="63">
        <v>1</v>
      </c>
      <c r="S57" s="63">
        <f t="shared" si="8"/>
        <v>0</v>
      </c>
      <c r="T57" s="46"/>
      <c r="U57" s="46"/>
      <c r="V57" s="47"/>
      <c r="W57" s="46"/>
      <c r="X57" s="62" t="s">
        <v>60</v>
      </c>
      <c r="Y57" s="62">
        <v>4.8</v>
      </c>
      <c r="Z57" s="46"/>
    </row>
    <row r="58" spans="1:36" ht="15.75" customHeight="1" x14ac:dyDescent="0.25">
      <c r="A58" s="46"/>
      <c r="B58" s="46"/>
      <c r="C58" s="46"/>
      <c r="D58" s="46"/>
      <c r="E58" s="78"/>
      <c r="F58" s="47"/>
      <c r="G58" s="59" t="s">
        <v>71</v>
      </c>
      <c r="H58" s="59">
        <f>I56/1000</f>
        <v>0</v>
      </c>
      <c r="I58" s="46"/>
      <c r="J58" s="46"/>
      <c r="M58" s="46"/>
      <c r="N58" s="46"/>
      <c r="O58" s="46"/>
      <c r="P58" s="46"/>
      <c r="Q58" s="59" t="s">
        <v>54</v>
      </c>
      <c r="R58" s="68">
        <v>0.99311823269803079</v>
      </c>
      <c r="S58" s="63">
        <f t="shared" si="8"/>
        <v>6.8817673019692105E-3</v>
      </c>
      <c r="T58" s="47"/>
      <c r="U58" s="46"/>
      <c r="V58" s="47"/>
      <c r="W58" s="46"/>
    </row>
    <row r="59" spans="1:36" ht="15.75" customHeight="1" x14ac:dyDescent="0.2">
      <c r="A59" s="46"/>
      <c r="B59" s="46"/>
      <c r="C59" s="46"/>
      <c r="D59" s="46"/>
      <c r="E59" s="46"/>
      <c r="F59" s="47"/>
      <c r="G59" s="79" t="s">
        <v>60</v>
      </c>
      <c r="H59" s="67">
        <v>17</v>
      </c>
      <c r="I59" s="46"/>
      <c r="J59" s="46"/>
      <c r="M59" s="46"/>
      <c r="N59" s="46"/>
      <c r="O59" s="46"/>
      <c r="P59" s="46"/>
      <c r="Q59" s="59" t="s">
        <v>55</v>
      </c>
      <c r="R59" s="63">
        <v>0</v>
      </c>
      <c r="S59" s="63">
        <f t="shared" si="8"/>
        <v>1</v>
      </c>
      <c r="T59" s="47"/>
      <c r="U59" s="46"/>
      <c r="V59" s="47"/>
      <c r="W59" s="47"/>
    </row>
    <row r="60" spans="1:36" ht="15.75" customHeight="1" x14ac:dyDescent="0.25">
      <c r="A60" s="46"/>
      <c r="B60" s="46"/>
      <c r="C60" s="46"/>
      <c r="D60" s="46"/>
      <c r="E60" s="78"/>
      <c r="F60" s="46"/>
      <c r="G60" s="46"/>
      <c r="M60" s="46"/>
      <c r="N60" s="46"/>
      <c r="O60" s="46"/>
      <c r="P60" s="46"/>
      <c r="T60" s="47"/>
      <c r="U60" s="46"/>
      <c r="V60" s="47"/>
      <c r="W60" s="47"/>
    </row>
    <row r="61" spans="1:36" ht="15.75" customHeight="1" x14ac:dyDescent="0.2">
      <c r="A61" s="46"/>
      <c r="B61" s="46"/>
      <c r="C61" s="46"/>
      <c r="D61" s="46"/>
      <c r="E61" s="46"/>
      <c r="F61" s="46"/>
      <c r="G61" s="46"/>
      <c r="M61" s="46"/>
      <c r="N61" s="46"/>
      <c r="O61" s="46"/>
      <c r="P61" s="46"/>
      <c r="T61" s="47"/>
      <c r="U61" s="46"/>
      <c r="V61" s="47"/>
      <c r="W61" s="47"/>
    </row>
    <row r="62" spans="1:36" ht="15.75" customHeight="1" x14ac:dyDescent="0.2">
      <c r="A62" s="46"/>
      <c r="B62" s="46"/>
      <c r="C62" s="46"/>
      <c r="D62" s="46"/>
      <c r="E62" s="46"/>
      <c r="F62" s="46"/>
      <c r="G62" s="46"/>
      <c r="M62" s="46"/>
      <c r="N62" s="46"/>
      <c r="O62" s="46"/>
      <c r="P62" s="46"/>
      <c r="T62" s="47"/>
      <c r="U62" s="46"/>
      <c r="V62" s="47"/>
      <c r="W62" s="47"/>
      <c r="X62" s="47"/>
      <c r="Y62" s="46"/>
      <c r="Z62" s="46"/>
      <c r="AA62" s="46"/>
    </row>
    <row r="63" spans="1:36" ht="15.75" customHeight="1" x14ac:dyDescent="0.2">
      <c r="A63" s="46"/>
      <c r="B63" s="46"/>
      <c r="C63" s="46"/>
      <c r="D63" s="46"/>
      <c r="E63" s="46"/>
      <c r="F63" s="46"/>
      <c r="G63" s="46"/>
      <c r="M63" s="46"/>
      <c r="N63" s="46"/>
      <c r="O63" s="46"/>
      <c r="P63" s="46"/>
      <c r="T63" s="47"/>
      <c r="U63" s="46"/>
      <c r="V63" s="47"/>
      <c r="W63" s="47"/>
      <c r="X63" s="47"/>
      <c r="Y63" s="46"/>
      <c r="Z63" s="46"/>
      <c r="AA63" s="46"/>
    </row>
    <row r="64" spans="1:36" ht="15.75" customHeight="1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20"/>
      <c r="S64" s="20"/>
      <c r="T64" s="47"/>
      <c r="U64" s="46"/>
      <c r="V64" s="47"/>
      <c r="W64" s="47"/>
      <c r="X64" s="47"/>
      <c r="Y64" s="46"/>
      <c r="Z64" s="46"/>
      <c r="AA64" s="46"/>
    </row>
    <row r="65" spans="1:30" ht="15.75" customHeight="1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20"/>
      <c r="S65" s="20"/>
      <c r="T65" s="47"/>
      <c r="U65" s="46"/>
      <c r="V65" s="47"/>
      <c r="W65" s="47"/>
      <c r="X65" s="47"/>
      <c r="Y65" s="46"/>
      <c r="Z65" s="46"/>
      <c r="AA65" s="46"/>
    </row>
    <row r="66" spans="1:30" ht="15.75" customHeight="1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P66" s="46"/>
      <c r="Q66" s="46"/>
      <c r="R66" s="20"/>
      <c r="S66" s="20"/>
      <c r="T66" s="47"/>
      <c r="U66" s="46"/>
      <c r="V66" s="47"/>
      <c r="W66" s="47"/>
      <c r="X66" s="47"/>
      <c r="Y66" s="46"/>
      <c r="Z66" s="46"/>
      <c r="AA66" s="46"/>
    </row>
    <row r="67" spans="1:30" ht="15.75" customHeight="1" x14ac:dyDescent="0.25">
      <c r="A67" s="46"/>
      <c r="B67" s="46"/>
      <c r="C67" s="80"/>
      <c r="D67" s="81"/>
      <c r="E67" s="82"/>
      <c r="F67" s="46"/>
      <c r="G67" s="46"/>
      <c r="H67" s="46"/>
      <c r="I67" s="46"/>
      <c r="J67" s="46"/>
      <c r="K67" s="46"/>
      <c r="L67" s="62"/>
      <c r="M67" s="46"/>
      <c r="N67" s="46"/>
      <c r="P67" s="46"/>
      <c r="Q67" s="46"/>
      <c r="R67" s="20"/>
      <c r="S67" s="20"/>
      <c r="T67" s="47"/>
      <c r="U67" s="46"/>
      <c r="V67" s="47"/>
      <c r="W67" s="47"/>
      <c r="X67" s="47"/>
      <c r="Y67" s="46"/>
      <c r="Z67" s="46"/>
      <c r="AA67" s="46"/>
    </row>
    <row r="68" spans="1:30" ht="15.75" customHeight="1" x14ac:dyDescent="0.25">
      <c r="A68" s="46"/>
      <c r="B68" s="46"/>
      <c r="C68" s="46"/>
      <c r="D68" s="61"/>
      <c r="E68" s="46"/>
      <c r="F68" s="46"/>
      <c r="G68" s="46"/>
      <c r="H68" s="46"/>
      <c r="I68" s="46"/>
      <c r="J68" s="46"/>
      <c r="K68" s="46"/>
      <c r="L68" s="46"/>
      <c r="M68" s="46"/>
      <c r="N68" s="46"/>
      <c r="P68" s="46"/>
      <c r="Q68" s="46"/>
      <c r="R68" s="46"/>
      <c r="S68" s="46"/>
      <c r="T68" s="46"/>
      <c r="U68" s="57" t="s">
        <v>72</v>
      </c>
      <c r="V68" s="58">
        <v>8</v>
      </c>
      <c r="W68" s="49"/>
      <c r="X68" s="47"/>
      <c r="Y68" s="46"/>
      <c r="Z68" s="46"/>
      <c r="AA68" s="46"/>
    </row>
    <row r="69" spans="1:30" ht="15.75" customHeight="1" x14ac:dyDescent="0.25">
      <c r="A69" s="46"/>
      <c r="B69" s="46"/>
      <c r="C69" s="46"/>
      <c r="D69" s="61"/>
      <c r="E69" s="46"/>
      <c r="F69" s="46"/>
      <c r="G69" s="46"/>
      <c r="H69" s="46"/>
      <c r="I69" s="46"/>
      <c r="J69" s="46"/>
      <c r="K69" s="46"/>
      <c r="L69" s="62"/>
      <c r="P69" s="46"/>
      <c r="Q69" s="46"/>
      <c r="R69" s="46"/>
      <c r="S69" s="46"/>
      <c r="T69" s="46"/>
      <c r="U69" s="59" t="s">
        <v>52</v>
      </c>
      <c r="V69" s="63">
        <f t="shared" ref="V69:V72" si="9">S56*V40</f>
        <v>57.934931747145626</v>
      </c>
      <c r="W69" s="49"/>
      <c r="X69" s="46"/>
      <c r="Y69" s="46"/>
      <c r="Z69" s="46"/>
      <c r="AA69" s="46"/>
    </row>
    <row r="70" spans="1:30" ht="15.75" customHeight="1" x14ac:dyDescent="0.25">
      <c r="A70" s="46"/>
      <c r="B70" s="46"/>
      <c r="C70" s="46"/>
      <c r="D70" s="61"/>
      <c r="E70" s="46"/>
      <c r="F70" s="46"/>
      <c r="G70" s="46"/>
      <c r="H70" s="46"/>
      <c r="I70" s="46"/>
      <c r="J70" s="46"/>
      <c r="K70" s="46"/>
      <c r="L70" s="62"/>
      <c r="P70" s="46"/>
      <c r="Q70" s="46"/>
      <c r="R70" s="46"/>
      <c r="S70" s="46"/>
      <c r="T70" s="46"/>
      <c r="U70" s="59" t="s">
        <v>53</v>
      </c>
      <c r="V70" s="63">
        <f t="shared" si="9"/>
        <v>0</v>
      </c>
      <c r="W70" s="49"/>
      <c r="X70" s="46"/>
      <c r="Y70" s="46"/>
      <c r="Z70" s="46"/>
      <c r="AA70" s="46"/>
    </row>
    <row r="71" spans="1:30" ht="15.75" customHeight="1" x14ac:dyDescent="0.25">
      <c r="A71" s="46"/>
      <c r="B71" s="46"/>
      <c r="C71" s="46"/>
      <c r="D71" s="61"/>
      <c r="E71" s="46"/>
      <c r="F71" s="46"/>
      <c r="G71" s="46"/>
      <c r="H71" s="46"/>
      <c r="I71" s="46"/>
      <c r="J71" s="46"/>
      <c r="K71" s="46"/>
      <c r="L71" s="62"/>
      <c r="P71" s="46"/>
      <c r="Q71" s="46"/>
      <c r="R71" s="46"/>
      <c r="S71" s="46"/>
      <c r="T71" s="47"/>
      <c r="U71" s="59" t="s">
        <v>54</v>
      </c>
      <c r="V71" s="63">
        <f t="shared" si="9"/>
        <v>0.58360700018397271</v>
      </c>
      <c r="W71" s="49"/>
      <c r="X71" s="46"/>
      <c r="Y71" s="46"/>
      <c r="Z71" s="46"/>
      <c r="AA71" s="46"/>
    </row>
    <row r="72" spans="1:30" ht="15.75" customHeight="1" x14ac:dyDescent="0.25">
      <c r="A72" s="46"/>
      <c r="B72" s="46"/>
      <c r="C72" s="46"/>
      <c r="D72" s="61"/>
      <c r="E72" s="46"/>
      <c r="F72" s="46"/>
      <c r="G72" s="46"/>
      <c r="H72" s="80"/>
      <c r="I72" s="83"/>
      <c r="J72" s="82"/>
      <c r="K72" s="46"/>
      <c r="L72" s="62"/>
      <c r="O72" s="46"/>
      <c r="P72" s="46"/>
      <c r="Q72" s="46"/>
      <c r="R72" s="46"/>
      <c r="S72" s="46"/>
      <c r="T72" s="47"/>
      <c r="U72" s="59" t="s">
        <v>55</v>
      </c>
      <c r="V72" s="63">
        <f t="shared" si="9"/>
        <v>2.7452968241972768</v>
      </c>
      <c r="W72" s="49"/>
      <c r="X72" s="46"/>
      <c r="Y72" s="46"/>
      <c r="Z72" s="46"/>
      <c r="AA72" s="46"/>
    </row>
    <row r="73" spans="1:30" ht="15.75" customHeight="1" x14ac:dyDescent="0.25">
      <c r="A73" s="46"/>
      <c r="B73" s="46"/>
      <c r="C73" s="46"/>
      <c r="D73" s="61"/>
      <c r="E73" s="46"/>
      <c r="F73" s="46"/>
      <c r="G73" s="46"/>
      <c r="H73" s="46"/>
      <c r="I73" s="61"/>
      <c r="J73" s="46"/>
      <c r="K73" s="46"/>
      <c r="L73" s="62"/>
      <c r="O73" s="46"/>
      <c r="P73" s="46"/>
      <c r="Q73" s="46"/>
      <c r="R73" s="46"/>
      <c r="S73" s="46"/>
      <c r="T73" s="47"/>
      <c r="U73" s="59" t="s">
        <v>57</v>
      </c>
      <c r="V73" s="63">
        <f>SUM(V69:V72)</f>
        <v>61.263835571526876</v>
      </c>
      <c r="W73" s="49"/>
      <c r="Y73" s="46"/>
      <c r="Z73" s="46"/>
      <c r="AA73" s="46"/>
    </row>
    <row r="74" spans="1:30" ht="15.75" customHeight="1" x14ac:dyDescent="0.25">
      <c r="A74" s="46"/>
      <c r="B74" s="46"/>
      <c r="C74" s="46"/>
      <c r="D74" s="61"/>
      <c r="E74" s="46"/>
      <c r="F74" s="46"/>
      <c r="G74" s="46"/>
      <c r="H74" s="46"/>
      <c r="I74" s="61"/>
      <c r="J74" s="46"/>
      <c r="K74" s="46"/>
      <c r="L74" s="62"/>
      <c r="O74" s="46"/>
      <c r="P74" s="46"/>
      <c r="Q74" s="46"/>
      <c r="R74" s="46"/>
      <c r="S74" s="46"/>
      <c r="T74" s="47"/>
      <c r="U74" s="64" t="s">
        <v>58</v>
      </c>
      <c r="V74" s="65">
        <v>413.01</v>
      </c>
      <c r="W74" s="49"/>
      <c r="Y74" s="46"/>
      <c r="Z74" s="46"/>
      <c r="AA74" s="46"/>
    </row>
    <row r="75" spans="1:30" ht="15.75" customHeight="1" x14ac:dyDescent="0.25">
      <c r="A75" s="46"/>
      <c r="B75" s="46"/>
      <c r="C75" s="46"/>
      <c r="D75" s="61"/>
      <c r="E75" s="46"/>
      <c r="F75" s="46"/>
      <c r="G75" s="46"/>
      <c r="H75" s="46"/>
      <c r="I75" s="61"/>
      <c r="J75" s="46"/>
      <c r="K75" s="46"/>
      <c r="L75" s="62"/>
      <c r="O75" s="62"/>
      <c r="P75" s="46"/>
      <c r="Q75" s="46"/>
      <c r="R75" s="46"/>
      <c r="S75" s="46"/>
      <c r="T75" s="47"/>
      <c r="U75" s="67" t="s">
        <v>60</v>
      </c>
      <c r="V75" s="62">
        <v>4.8</v>
      </c>
      <c r="W75" s="46"/>
      <c r="Y75" s="46"/>
      <c r="Z75" s="46"/>
      <c r="AA75" s="46"/>
    </row>
    <row r="76" spans="1:30" ht="15.75" customHeight="1" x14ac:dyDescent="0.25">
      <c r="A76" s="46"/>
      <c r="B76" s="46"/>
      <c r="C76" s="46"/>
      <c r="D76" s="61"/>
      <c r="E76" s="46"/>
      <c r="F76" s="46"/>
      <c r="G76" s="46"/>
      <c r="H76" s="46"/>
      <c r="I76" s="61"/>
      <c r="J76" s="46"/>
      <c r="K76" s="46"/>
      <c r="L76" s="62"/>
      <c r="O76" s="62"/>
      <c r="P76" s="46"/>
      <c r="Q76" s="46"/>
      <c r="R76" s="46"/>
      <c r="S76" s="46"/>
      <c r="T76" s="47"/>
      <c r="Y76" s="46"/>
      <c r="Z76" s="46"/>
      <c r="AA76" s="46"/>
    </row>
    <row r="77" spans="1:30" ht="15.75" customHeight="1" x14ac:dyDescent="0.25">
      <c r="A77" s="46"/>
      <c r="B77" s="46"/>
      <c r="C77" s="46"/>
      <c r="D77" s="61"/>
      <c r="E77" s="46"/>
      <c r="F77" s="46"/>
      <c r="G77" s="46"/>
      <c r="H77" s="46"/>
      <c r="I77" s="61"/>
      <c r="J77" s="46"/>
      <c r="K77" s="46"/>
      <c r="L77" s="62"/>
      <c r="P77" s="46"/>
      <c r="Q77" s="46"/>
      <c r="R77" s="46"/>
      <c r="S77" s="46"/>
      <c r="T77" s="47"/>
      <c r="U77" s="46"/>
      <c r="Y77" s="46"/>
      <c r="Z77" s="46"/>
      <c r="AA77" s="46"/>
      <c r="AD77" s="62"/>
    </row>
    <row r="78" spans="1:30" ht="15.75" customHeight="1" x14ac:dyDescent="0.25">
      <c r="A78" s="46"/>
      <c r="B78" s="46"/>
      <c r="C78" s="46"/>
      <c r="D78" s="61"/>
      <c r="E78" s="46"/>
      <c r="F78" s="46"/>
      <c r="G78" s="46"/>
      <c r="H78" s="46"/>
      <c r="I78" s="61"/>
      <c r="J78" s="46"/>
      <c r="K78" s="46"/>
      <c r="L78" s="62"/>
      <c r="P78" s="46"/>
      <c r="Q78" s="46"/>
      <c r="R78" s="46"/>
      <c r="S78" s="46"/>
      <c r="T78" s="47"/>
      <c r="U78" s="46"/>
      <c r="V78" s="46"/>
      <c r="W78" s="61"/>
      <c r="X78" s="47"/>
      <c r="Y78" s="46"/>
      <c r="Z78" s="47"/>
      <c r="AA78" s="47"/>
      <c r="AB78" s="47"/>
    </row>
    <row r="79" spans="1:30" ht="15.75" customHeight="1" x14ac:dyDescent="0.25">
      <c r="A79" s="46"/>
      <c r="B79" s="46"/>
      <c r="C79" s="46"/>
      <c r="D79" s="20"/>
      <c r="E79" s="46"/>
      <c r="F79" s="46"/>
      <c r="G79" s="46"/>
      <c r="H79" s="46"/>
      <c r="I79" s="61"/>
      <c r="J79" s="46"/>
      <c r="K79" s="46"/>
      <c r="L79" s="62"/>
      <c r="O79" s="46"/>
      <c r="P79" s="46"/>
      <c r="Q79" s="46"/>
      <c r="R79" s="46"/>
      <c r="S79" s="46"/>
      <c r="T79" s="46"/>
      <c r="U79" s="46"/>
      <c r="V79" s="47"/>
      <c r="W79" s="47"/>
      <c r="Y79" s="46"/>
      <c r="Z79" s="46"/>
      <c r="AA79" s="46"/>
      <c r="AB79" s="46"/>
    </row>
    <row r="80" spans="1:30" ht="15.75" customHeight="1" x14ac:dyDescent="0.25">
      <c r="A80" s="46"/>
      <c r="B80" s="46"/>
      <c r="C80" s="46"/>
      <c r="D80" s="46"/>
      <c r="E80" s="46"/>
      <c r="F80" s="46"/>
      <c r="G80" s="46"/>
      <c r="H80" s="46"/>
      <c r="I80" s="61"/>
      <c r="J80" s="46"/>
      <c r="K80" s="46"/>
      <c r="L80" s="62"/>
      <c r="O80" s="46"/>
      <c r="P80" s="46"/>
      <c r="Q80" s="46"/>
      <c r="R80" s="46"/>
      <c r="S80" s="46"/>
      <c r="T80" s="46"/>
      <c r="U80" s="46"/>
      <c r="V80" s="47"/>
      <c r="W80" s="47"/>
      <c r="X80" s="57" t="s">
        <v>73</v>
      </c>
      <c r="Y80" s="58">
        <v>9</v>
      </c>
      <c r="Z80" s="49"/>
      <c r="AA80" s="46"/>
    </row>
    <row r="81" spans="1:48" ht="15.75" customHeight="1" x14ac:dyDescent="0.25">
      <c r="A81" s="46"/>
      <c r="B81" s="46"/>
      <c r="C81" s="46"/>
      <c r="D81" s="46"/>
      <c r="E81" s="46"/>
      <c r="F81" s="46"/>
      <c r="G81" s="46"/>
      <c r="H81" s="46"/>
      <c r="I81" s="61"/>
      <c r="J81" s="46"/>
      <c r="K81" s="46"/>
      <c r="L81" s="62"/>
      <c r="O81" s="46"/>
      <c r="P81" s="46"/>
      <c r="Q81" s="46"/>
      <c r="R81" s="46"/>
      <c r="S81" s="46"/>
      <c r="T81" s="46"/>
      <c r="U81" s="46"/>
      <c r="V81" s="47"/>
      <c r="W81" s="46"/>
      <c r="X81" s="59" t="s">
        <v>52</v>
      </c>
      <c r="Y81" s="63">
        <f t="shared" ref="Y81:Y84" si="10">R85*V69</f>
        <v>0</v>
      </c>
      <c r="Z81" s="49"/>
      <c r="AA81" s="46"/>
    </row>
    <row r="82" spans="1:48" ht="15.75" customHeight="1" x14ac:dyDescent="0.25">
      <c r="A82" s="46"/>
      <c r="B82" s="46"/>
      <c r="C82" s="46"/>
      <c r="D82" s="46"/>
      <c r="E82" s="46"/>
      <c r="F82" s="46"/>
      <c r="G82" s="46"/>
      <c r="H82" s="46"/>
      <c r="I82" s="61"/>
      <c r="J82" s="46"/>
      <c r="K82" s="46"/>
      <c r="L82" s="62"/>
      <c r="O82" s="46"/>
      <c r="P82" s="46"/>
      <c r="Q82" s="46"/>
      <c r="R82" s="46"/>
      <c r="S82" s="46"/>
      <c r="T82" s="46"/>
      <c r="U82" s="46"/>
      <c r="V82" s="47"/>
      <c r="W82" s="46"/>
      <c r="X82" s="59" t="s">
        <v>53</v>
      </c>
      <c r="Y82" s="63">
        <f t="shared" si="10"/>
        <v>0</v>
      </c>
      <c r="Z82" s="49"/>
      <c r="AA82" s="46"/>
    </row>
    <row r="83" spans="1:48" ht="15.75" customHeight="1" x14ac:dyDescent="0.25">
      <c r="A83" s="46"/>
      <c r="B83" s="46"/>
      <c r="C83" s="46"/>
      <c r="D83" s="46"/>
      <c r="E83" s="46"/>
      <c r="F83" s="46"/>
      <c r="G83" s="46"/>
      <c r="H83" s="46"/>
      <c r="I83" s="61"/>
      <c r="J83" s="46"/>
      <c r="K83" s="46"/>
      <c r="L83" s="62"/>
      <c r="O83" s="46"/>
      <c r="P83" s="46"/>
      <c r="Q83" s="57"/>
      <c r="R83" s="66" t="s">
        <v>59</v>
      </c>
      <c r="S83" s="66"/>
      <c r="T83" s="46"/>
      <c r="U83" s="46"/>
      <c r="V83" s="47"/>
      <c r="W83" s="46"/>
      <c r="X83" s="59" t="s">
        <v>54</v>
      </c>
      <c r="Y83" s="63">
        <f t="shared" si="10"/>
        <v>0.58360700018397271</v>
      </c>
      <c r="Z83" s="49"/>
      <c r="AA83" s="46"/>
    </row>
    <row r="84" spans="1:48" ht="15.75" customHeight="1" x14ac:dyDescent="0.25">
      <c r="A84" s="46"/>
      <c r="B84" s="46"/>
      <c r="C84" s="46"/>
      <c r="D84" s="46"/>
      <c r="E84" s="46"/>
      <c r="F84" s="46"/>
      <c r="G84" s="46"/>
      <c r="H84" s="46"/>
      <c r="I84" s="20"/>
      <c r="J84" s="46"/>
      <c r="K84" s="46"/>
      <c r="L84" s="62"/>
      <c r="O84" s="46"/>
      <c r="P84" s="46"/>
      <c r="Q84" s="59"/>
      <c r="R84" s="66" t="s">
        <v>61</v>
      </c>
      <c r="S84" s="66" t="s">
        <v>62</v>
      </c>
      <c r="T84" s="46"/>
      <c r="U84" s="46"/>
      <c r="V84" s="47"/>
      <c r="W84" s="46"/>
      <c r="X84" s="59" t="s">
        <v>55</v>
      </c>
      <c r="Y84" s="63">
        <f t="shared" si="10"/>
        <v>2.6092218168813388</v>
      </c>
      <c r="Z84" s="49"/>
      <c r="AA84" s="46"/>
    </row>
    <row r="85" spans="1:48" ht="15.75" customHeight="1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62"/>
      <c r="O85" s="46"/>
      <c r="P85" s="46"/>
      <c r="Q85" s="59" t="s">
        <v>52</v>
      </c>
      <c r="R85" s="63">
        <v>0</v>
      </c>
      <c r="S85" s="63">
        <f t="shared" ref="S85:S88" si="11">1-R85</f>
        <v>1</v>
      </c>
      <c r="T85" s="46"/>
      <c r="U85" s="46"/>
      <c r="V85" s="47"/>
      <c r="W85" s="46"/>
      <c r="X85" s="59" t="s">
        <v>57</v>
      </c>
      <c r="Y85" s="63">
        <f>SUM((Y81:Y84))</f>
        <v>3.1928288170653114</v>
      </c>
      <c r="Z85" s="49"/>
      <c r="AA85" s="46"/>
    </row>
    <row r="86" spans="1:48" ht="15.75" customHeight="1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62"/>
      <c r="O86" s="46"/>
      <c r="P86" s="46"/>
      <c r="Q86" s="59" t="s">
        <v>53</v>
      </c>
      <c r="R86" s="63">
        <v>1</v>
      </c>
      <c r="S86" s="63">
        <f t="shared" si="11"/>
        <v>0</v>
      </c>
      <c r="T86" s="46"/>
      <c r="U86" s="46"/>
      <c r="V86" s="47"/>
      <c r="W86" s="46"/>
      <c r="X86" s="64" t="s">
        <v>58</v>
      </c>
      <c r="Y86" s="65">
        <v>344.35</v>
      </c>
      <c r="Z86" s="49"/>
      <c r="AA86" s="46"/>
    </row>
    <row r="87" spans="1:48" ht="15.75" customHeight="1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62"/>
      <c r="O87" s="46"/>
      <c r="P87" s="46"/>
      <c r="Q87" s="59" t="s">
        <v>54</v>
      </c>
      <c r="R87" s="63">
        <v>1</v>
      </c>
      <c r="S87" s="63">
        <f t="shared" si="11"/>
        <v>0</v>
      </c>
      <c r="T87" s="47"/>
      <c r="U87" s="46"/>
      <c r="V87" s="47"/>
      <c r="W87" s="46"/>
      <c r="X87" s="62" t="s">
        <v>60</v>
      </c>
      <c r="Y87" s="62">
        <v>4.8</v>
      </c>
      <c r="Z87" s="46"/>
      <c r="AA87" s="46"/>
      <c r="AC87" s="47"/>
      <c r="AD87" s="46"/>
    </row>
    <row r="88" spans="1:48" ht="15.75" customHeight="1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62"/>
      <c r="O88" s="46"/>
      <c r="P88" s="46"/>
      <c r="Q88" s="59" t="s">
        <v>55</v>
      </c>
      <c r="R88" s="68">
        <v>0.9504334081048863</v>
      </c>
      <c r="S88" s="63">
        <f t="shared" si="11"/>
        <v>4.9566591895113699E-2</v>
      </c>
      <c r="T88" s="47"/>
      <c r="U88" s="46"/>
      <c r="V88" s="47"/>
      <c r="W88" s="47"/>
      <c r="AA88" s="46"/>
      <c r="AC88" s="47"/>
      <c r="AD88" s="46"/>
    </row>
    <row r="89" spans="1:48" ht="15.75" customHeight="1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O89" s="46"/>
      <c r="P89" s="46"/>
      <c r="T89" s="47"/>
      <c r="U89" s="46"/>
      <c r="V89" s="47"/>
      <c r="W89" s="47"/>
      <c r="X89" s="47"/>
      <c r="Y89" s="46"/>
      <c r="Z89" s="46"/>
      <c r="AA89" s="46"/>
      <c r="AC89" s="47"/>
      <c r="AD89" s="46"/>
      <c r="AE89" s="62" t="s">
        <v>74</v>
      </c>
      <c r="AH89" s="62"/>
    </row>
    <row r="90" spans="1:48" ht="15.75" customHeight="1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O90" s="46"/>
      <c r="P90" s="46"/>
      <c r="T90" s="47"/>
      <c r="U90" s="46"/>
      <c r="V90" s="47"/>
      <c r="W90" s="47"/>
      <c r="X90" s="47"/>
      <c r="Y90" s="46"/>
      <c r="Z90" s="46"/>
      <c r="AA90" s="46"/>
      <c r="AC90" s="47"/>
      <c r="AD90" s="59" t="s">
        <v>52</v>
      </c>
      <c r="AE90" s="63">
        <v>98.959000000000003</v>
      </c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</row>
    <row r="91" spans="1:48" ht="15.75" customHeight="1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T91" s="47"/>
      <c r="U91" s="46"/>
      <c r="V91" s="47"/>
      <c r="W91" s="47"/>
      <c r="X91" s="47"/>
      <c r="Y91" s="46"/>
      <c r="Z91" s="46"/>
      <c r="AA91" s="46"/>
      <c r="AC91" s="47"/>
      <c r="AD91" s="59" t="s">
        <v>53</v>
      </c>
      <c r="AE91" s="63">
        <v>36.46</v>
      </c>
      <c r="AH91" s="62"/>
      <c r="AI91" s="62"/>
      <c r="AJ91" s="62"/>
      <c r="AK91" s="62"/>
      <c r="AL91" s="62"/>
      <c r="AM91" s="62"/>
    </row>
    <row r="92" spans="1:48" ht="15.7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T92" s="47"/>
      <c r="U92" s="46"/>
      <c r="V92" s="47"/>
      <c r="W92" s="47"/>
      <c r="X92" s="47"/>
      <c r="Y92" s="46"/>
      <c r="Z92" s="46"/>
      <c r="AA92" s="46"/>
      <c r="AB92" s="46"/>
      <c r="AC92" s="47"/>
      <c r="AD92" s="59" t="s">
        <v>54</v>
      </c>
      <c r="AE92" s="63">
        <v>62.497999999999998</v>
      </c>
    </row>
    <row r="93" spans="1:48" ht="15.75" customHeight="1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20"/>
      <c r="S93" s="20"/>
      <c r="T93" s="47"/>
      <c r="U93" s="46"/>
      <c r="V93" s="47"/>
      <c r="W93" s="47"/>
      <c r="X93" s="47"/>
      <c r="Y93" s="46"/>
      <c r="Z93" s="46"/>
      <c r="AA93" s="46"/>
      <c r="AB93" s="46"/>
      <c r="AC93" s="47"/>
      <c r="AD93" s="59" t="s">
        <v>55</v>
      </c>
      <c r="AE93" s="63">
        <v>98.959000000000003</v>
      </c>
      <c r="AH93" s="62"/>
    </row>
    <row r="94" spans="1:48" ht="15.75" customHeight="1" x14ac:dyDescent="0.25">
      <c r="A94" s="46"/>
      <c r="B94" s="46"/>
      <c r="C94" s="46"/>
      <c r="D94" s="46"/>
      <c r="E94" s="28"/>
      <c r="F94" s="62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20"/>
      <c r="S94" s="20"/>
      <c r="T94" s="47"/>
      <c r="U94" s="46"/>
      <c r="V94" s="47"/>
      <c r="W94" s="47"/>
      <c r="X94" s="47"/>
      <c r="Y94" s="46"/>
      <c r="Z94" s="46"/>
      <c r="AA94" s="46"/>
      <c r="AB94" s="46"/>
      <c r="AC94" s="47"/>
      <c r="AD94" s="46"/>
      <c r="AH94" s="62"/>
    </row>
    <row r="95" spans="1:48" ht="15.75" customHeight="1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20"/>
      <c r="T95" s="20"/>
      <c r="U95" s="47"/>
      <c r="V95" s="46"/>
      <c r="W95" s="47"/>
      <c r="X95" s="47"/>
      <c r="Y95" s="47"/>
      <c r="Z95" s="46"/>
      <c r="AA95" s="46"/>
      <c r="AB95" s="46"/>
      <c r="AC95" s="47"/>
      <c r="AD95" s="46"/>
    </row>
    <row r="96" spans="1:48" ht="15.75" customHeight="1" x14ac:dyDescent="0.25">
      <c r="A96" s="46"/>
      <c r="B96" s="80"/>
      <c r="C96" s="83"/>
      <c r="D96" s="82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Q96" s="46"/>
      <c r="R96" s="46"/>
      <c r="S96" s="20"/>
      <c r="T96" s="20"/>
      <c r="U96" s="47"/>
      <c r="V96" s="46"/>
      <c r="W96" s="47"/>
      <c r="X96" s="47"/>
      <c r="Y96" s="47"/>
      <c r="Z96" s="46"/>
      <c r="AA96" s="46"/>
      <c r="AB96" s="46"/>
      <c r="AC96" s="47"/>
      <c r="AD96" s="46"/>
    </row>
    <row r="97" spans="1:41" ht="15.75" customHeight="1" x14ac:dyDescent="0.25">
      <c r="A97" s="46"/>
      <c r="B97" s="46"/>
      <c r="C97" s="61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20"/>
      <c r="T97" s="20"/>
      <c r="U97" s="47"/>
      <c r="V97" s="46"/>
      <c r="W97" s="47"/>
      <c r="X97" s="47"/>
      <c r="Y97" s="47"/>
      <c r="Z97" s="46"/>
      <c r="AA97" s="46"/>
      <c r="AB97" s="46"/>
      <c r="AC97" s="47"/>
      <c r="AD97" s="46"/>
    </row>
    <row r="98" spans="1:41" ht="15.75" customHeight="1" x14ac:dyDescent="0.25">
      <c r="A98" s="46"/>
      <c r="B98" s="46"/>
      <c r="C98" s="61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Q98" s="46"/>
      <c r="R98" s="46"/>
      <c r="S98" s="20"/>
      <c r="T98" s="20"/>
      <c r="U98" s="47"/>
      <c r="V98" s="46"/>
      <c r="W98" s="47"/>
      <c r="X98" s="47"/>
      <c r="Y98" s="47"/>
      <c r="Z98" s="46"/>
      <c r="AB98" s="59" t="s">
        <v>75</v>
      </c>
      <c r="AC98" s="84" t="s">
        <v>76</v>
      </c>
      <c r="AD98" s="59" t="s">
        <v>77</v>
      </c>
      <c r="AE98" s="85"/>
      <c r="AF98" s="86" t="s">
        <v>78</v>
      </c>
    </row>
    <row r="99" spans="1:41" ht="15.75" customHeight="1" x14ac:dyDescent="0.25">
      <c r="A99" s="46"/>
      <c r="B99" s="46"/>
      <c r="C99" s="61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Q99" s="46"/>
      <c r="R99" s="46"/>
      <c r="S99" s="46"/>
      <c r="T99" s="46"/>
      <c r="U99" s="46"/>
      <c r="V99" s="57" t="s">
        <v>79</v>
      </c>
      <c r="W99" s="58">
        <v>10</v>
      </c>
      <c r="X99" s="49"/>
      <c r="Y99" s="47"/>
      <c r="Z99" s="46"/>
      <c r="AB99" s="59">
        <v>1000</v>
      </c>
      <c r="AC99" s="84">
        <v>1000</v>
      </c>
      <c r="AD99" s="59">
        <v>3600</v>
      </c>
      <c r="AE99" s="85"/>
      <c r="AF99" s="86">
        <v>3600</v>
      </c>
    </row>
    <row r="100" spans="1:41" ht="15.75" customHeight="1" x14ac:dyDescent="0.25">
      <c r="A100" s="46"/>
      <c r="B100" s="46"/>
      <c r="C100" s="61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87" t="s">
        <v>80</v>
      </c>
      <c r="P100" s="46"/>
      <c r="Q100" s="46"/>
      <c r="R100" s="46"/>
      <c r="S100" s="46"/>
      <c r="T100" s="46"/>
      <c r="U100" s="46"/>
      <c r="V100" s="59" t="s">
        <v>52</v>
      </c>
      <c r="W100" s="63">
        <f t="shared" ref="W100:W103" si="12">S85*V69</f>
        <v>57.934931747145626</v>
      </c>
      <c r="X100" s="49"/>
      <c r="Y100" s="46"/>
      <c r="Z100" s="46"/>
      <c r="AB100" s="46"/>
      <c r="AC100" s="47"/>
      <c r="AD100" s="46"/>
    </row>
    <row r="101" spans="1:41" ht="15.75" customHeight="1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87">
        <v>0.1</v>
      </c>
      <c r="P101" s="46"/>
      <c r="Q101" s="46"/>
      <c r="R101" s="46"/>
      <c r="S101" s="46"/>
      <c r="T101" s="46"/>
      <c r="U101" s="46"/>
      <c r="V101" s="59" t="s">
        <v>53</v>
      </c>
      <c r="W101" s="63">
        <f t="shared" si="12"/>
        <v>0</v>
      </c>
      <c r="X101" s="49"/>
      <c r="Y101" s="46"/>
      <c r="Z101" s="46"/>
      <c r="AB101" s="46"/>
      <c r="AC101" s="47"/>
      <c r="AD101" s="46"/>
      <c r="AN101" s="88" t="s">
        <v>81</v>
      </c>
      <c r="AO101" s="89" t="s">
        <v>82</v>
      </c>
    </row>
    <row r="102" spans="1:41" ht="15.75" customHeight="1" x14ac:dyDescent="0.25">
      <c r="A102" s="46"/>
      <c r="B102" s="46"/>
      <c r="C102" s="46"/>
      <c r="D102" s="46"/>
      <c r="E102" s="46"/>
      <c r="F102" s="46"/>
      <c r="G102" s="46"/>
      <c r="H102" s="80"/>
      <c r="I102" s="83"/>
      <c r="J102" s="82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7"/>
      <c r="V102" s="59" t="s">
        <v>54</v>
      </c>
      <c r="W102" s="63">
        <f t="shared" si="12"/>
        <v>0</v>
      </c>
      <c r="X102" s="49"/>
      <c r="Y102" s="46"/>
      <c r="Z102" s="46"/>
      <c r="AB102" s="46"/>
      <c r="AC102" s="90"/>
      <c r="AD102" s="46"/>
      <c r="AN102" s="91">
        <f>AD113</f>
        <v>33023.13459760855</v>
      </c>
      <c r="AO102" s="92">
        <f>AN113+AD123+AF123+AJ123</f>
        <v>33151.521971014838</v>
      </c>
    </row>
    <row r="103" spans="1:41" ht="15.75" customHeight="1" x14ac:dyDescent="0.25">
      <c r="A103" s="46"/>
      <c r="B103" s="46"/>
      <c r="C103" s="46"/>
      <c r="D103" s="46"/>
      <c r="E103" s="46"/>
      <c r="F103" s="46"/>
      <c r="G103" s="46"/>
      <c r="H103" s="46"/>
      <c r="I103" s="61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7"/>
      <c r="V103" s="59" t="s">
        <v>55</v>
      </c>
      <c r="W103" s="63">
        <f t="shared" si="12"/>
        <v>0.13607500731593811</v>
      </c>
      <c r="X103" s="49"/>
      <c r="Y103" s="46"/>
      <c r="Z103" s="46"/>
      <c r="AB103" s="46"/>
      <c r="AC103" s="93"/>
      <c r="AD103" s="46"/>
    </row>
    <row r="104" spans="1:41" ht="15.75" customHeight="1" x14ac:dyDescent="0.25">
      <c r="A104" s="46"/>
      <c r="B104" s="46"/>
      <c r="C104" s="46"/>
      <c r="D104" s="46"/>
      <c r="E104" s="46"/>
      <c r="F104" s="46"/>
      <c r="G104" s="46"/>
      <c r="H104" s="46"/>
      <c r="I104" s="61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7"/>
      <c r="V104" s="59" t="s">
        <v>57</v>
      </c>
      <c r="W104" s="63">
        <f>SUM(W100:W103)</f>
        <v>58.071006754461564</v>
      </c>
      <c r="X104" s="49"/>
      <c r="Z104" s="46"/>
      <c r="AB104" s="46"/>
      <c r="AC104" s="94"/>
      <c r="AD104" s="46"/>
      <c r="AG104" s="62" t="s">
        <v>83</v>
      </c>
    </row>
    <row r="105" spans="1:41" ht="15.75" customHeight="1" x14ac:dyDescent="0.25">
      <c r="A105" s="46"/>
      <c r="B105" s="46"/>
      <c r="C105" s="46"/>
      <c r="D105" s="46"/>
      <c r="E105" s="46"/>
      <c r="F105" s="46"/>
      <c r="G105" s="46"/>
      <c r="H105" s="46"/>
      <c r="I105" s="61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7"/>
      <c r="V105" s="64" t="s">
        <v>58</v>
      </c>
      <c r="W105" s="65">
        <v>416.64</v>
      </c>
      <c r="X105" s="49"/>
      <c r="AB105" s="59" t="s">
        <v>84</v>
      </c>
      <c r="AC105" s="59">
        <v>1</v>
      </c>
      <c r="AD105" s="86"/>
      <c r="AE105" s="73">
        <v>2</v>
      </c>
      <c r="AF105" s="86"/>
      <c r="AG105" s="86">
        <v>3</v>
      </c>
      <c r="AH105" s="86"/>
      <c r="AI105" s="86">
        <v>4</v>
      </c>
      <c r="AJ105" s="86"/>
      <c r="AK105" s="86">
        <v>5</v>
      </c>
      <c r="AL105" s="86"/>
      <c r="AM105" s="86">
        <v>6</v>
      </c>
      <c r="AN105" s="86"/>
    </row>
    <row r="106" spans="1:41" ht="15.75" customHeight="1" x14ac:dyDescent="0.25">
      <c r="A106" s="46"/>
      <c r="B106" s="46"/>
      <c r="C106" s="46"/>
      <c r="D106" s="46"/>
      <c r="E106" s="46"/>
      <c r="F106" s="46"/>
      <c r="G106" s="46"/>
      <c r="H106" s="46"/>
      <c r="I106" s="61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7"/>
      <c r="V106" s="79" t="s">
        <v>60</v>
      </c>
      <c r="W106" s="62">
        <v>4.8</v>
      </c>
      <c r="X106" s="46"/>
      <c r="AB106" s="59" t="s">
        <v>85</v>
      </c>
      <c r="AC106" s="84">
        <v>373.15</v>
      </c>
      <c r="AD106" s="95">
        <v>373.15</v>
      </c>
      <c r="AE106" s="96">
        <v>385.15</v>
      </c>
      <c r="AF106" s="95">
        <v>385.15</v>
      </c>
      <c r="AG106" s="95">
        <f>500+273.15</f>
        <v>773.15</v>
      </c>
      <c r="AH106" s="95">
        <v>305</v>
      </c>
      <c r="AI106" s="95">
        <f t="shared" ref="AI106:AJ106" si="13">357.86</f>
        <v>357.86</v>
      </c>
      <c r="AJ106" s="95">
        <f t="shared" si="13"/>
        <v>357.86</v>
      </c>
      <c r="AK106" s="95">
        <v>413.01</v>
      </c>
      <c r="AL106" s="95">
        <v>413.01</v>
      </c>
      <c r="AM106" s="95">
        <f t="shared" ref="AM106:AN106" si="14">-26.2+273.15</f>
        <v>246.95</v>
      </c>
      <c r="AN106" s="95">
        <f t="shared" si="14"/>
        <v>246.95</v>
      </c>
    </row>
    <row r="107" spans="1:41" ht="15.75" customHeight="1" x14ac:dyDescent="0.25">
      <c r="A107" s="46"/>
      <c r="B107" s="46"/>
      <c r="C107" s="61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7"/>
      <c r="AB107" s="59" t="s">
        <v>86</v>
      </c>
      <c r="AC107" s="84"/>
      <c r="AD107" s="95"/>
      <c r="AE107" s="96">
        <v>26</v>
      </c>
      <c r="AF107" s="95">
        <v>26</v>
      </c>
      <c r="AG107" s="95">
        <v>26</v>
      </c>
      <c r="AH107" s="95">
        <v>12</v>
      </c>
      <c r="AI107" s="95">
        <v>12</v>
      </c>
      <c r="AJ107" s="95">
        <v>12</v>
      </c>
      <c r="AK107" s="95">
        <v>4.8</v>
      </c>
      <c r="AL107" s="95">
        <v>4.8</v>
      </c>
      <c r="AM107" s="95">
        <v>12</v>
      </c>
      <c r="AN107" s="95">
        <v>12</v>
      </c>
    </row>
    <row r="108" spans="1:41" ht="15.75" customHeight="1" x14ac:dyDescent="0.25">
      <c r="A108" s="46"/>
      <c r="B108" s="46"/>
      <c r="C108" s="20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7"/>
      <c r="V108" s="46"/>
      <c r="AB108" s="86" t="s">
        <v>87</v>
      </c>
      <c r="AC108" s="95" t="s">
        <v>88</v>
      </c>
      <c r="AD108" s="95" t="s">
        <v>89</v>
      </c>
      <c r="AE108" s="97" t="s">
        <v>88</v>
      </c>
      <c r="AF108" s="95" t="s">
        <v>89</v>
      </c>
      <c r="AG108" s="95" t="s">
        <v>88</v>
      </c>
      <c r="AH108" s="95" t="s">
        <v>89</v>
      </c>
      <c r="AI108" s="95" t="s">
        <v>88</v>
      </c>
      <c r="AJ108" s="95" t="s">
        <v>89</v>
      </c>
      <c r="AK108" s="95" t="s">
        <v>88</v>
      </c>
      <c r="AL108" s="95" t="s">
        <v>89</v>
      </c>
      <c r="AM108" s="95" t="s">
        <v>88</v>
      </c>
      <c r="AN108" s="95" t="s">
        <v>89</v>
      </c>
    </row>
    <row r="109" spans="1:41" ht="15.75" customHeight="1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7"/>
      <c r="O109" s="46"/>
      <c r="P109" s="46"/>
      <c r="Q109" s="61"/>
      <c r="R109" s="47"/>
      <c r="T109" s="46"/>
      <c r="U109" s="47"/>
      <c r="V109" s="46"/>
      <c r="W109" s="46"/>
      <c r="X109" s="61"/>
      <c r="Y109" s="47"/>
      <c r="AB109" s="59" t="s">
        <v>52</v>
      </c>
      <c r="AC109" s="73">
        <f t="shared" ref="AC109:AC112" si="15">(C37/$AC$99)*$AD$99</f>
        <v>333.70521728805414</v>
      </c>
      <c r="AD109" s="98">
        <f t="shared" ref="AD109:AD112" si="16">((C37*$AE90)/$AB$99)*$AF$99</f>
        <v>33023.13459760855</v>
      </c>
      <c r="AE109" s="73">
        <f t="shared" ref="AE109:AE112" si="17">(I18/$AC$99)*$AD$99</f>
        <v>521.41438572431059</v>
      </c>
      <c r="AF109" s="98">
        <f t="shared" ref="AF109:AF112" si="18">((I18*$AE90)/$AB$99)*$AF$99</f>
        <v>51598.646196892063</v>
      </c>
      <c r="AG109" s="73">
        <f t="shared" ref="AG109:AG112" si="19">(K39/$AC$99)*$AD$99</f>
        <v>208.56575428972425</v>
      </c>
      <c r="AH109" s="98">
        <f t="shared" ref="AH109:AH112" si="20">((K39*$AE90)/$AB$99)*$AF$99</f>
        <v>20639.458478756824</v>
      </c>
      <c r="AI109" s="73">
        <f t="shared" ref="AI109:AI112" si="21">(V40/$AC$99)*$AD$99</f>
        <v>208.56575428972425</v>
      </c>
      <c r="AJ109" s="98">
        <f t="shared" ref="AJ109:AJ112" si="22">((V40*$AE90)/$AB$99)*$AF$99</f>
        <v>20639.458478756824</v>
      </c>
      <c r="AK109" s="73">
        <f t="shared" ref="AK109:AK112" si="23">(V69/$AC$99)*$AD$99</f>
        <v>208.56575428972425</v>
      </c>
      <c r="AL109" s="98">
        <f t="shared" ref="AL109:AL112" si="24">((V69*$AE90)/$AB$99)*$AF$99</f>
        <v>20639.458478756824</v>
      </c>
      <c r="AM109" s="73">
        <f t="shared" ref="AM109:AM112" si="25">(Y22/$AC$99)*$AD$99</f>
        <v>0</v>
      </c>
      <c r="AN109" s="98">
        <f t="shared" ref="AN109:AN112" si="26">((Y22*$AE90)/$AB$99)*$AF$99</f>
        <v>0</v>
      </c>
    </row>
    <row r="110" spans="1:41" ht="15.75" customHeight="1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7"/>
      <c r="Q110" s="47"/>
      <c r="T110" s="46"/>
      <c r="U110" s="46"/>
      <c r="V110" s="46"/>
      <c r="W110" s="47"/>
      <c r="X110" s="47"/>
      <c r="AB110" s="59" t="s">
        <v>53</v>
      </c>
      <c r="AC110" s="73">
        <f t="shared" si="15"/>
        <v>0</v>
      </c>
      <c r="AD110" s="98">
        <f t="shared" si="16"/>
        <v>0</v>
      </c>
      <c r="AE110" s="73">
        <f t="shared" si="17"/>
        <v>0.28840306539060301</v>
      </c>
      <c r="AF110" s="98">
        <f t="shared" si="18"/>
        <v>10.515175764141388</v>
      </c>
      <c r="AG110" s="73">
        <f t="shared" si="19"/>
        <v>303.69484895655853</v>
      </c>
      <c r="AH110" s="98">
        <f t="shared" si="20"/>
        <v>11072.714192956124</v>
      </c>
      <c r="AI110" s="73">
        <f t="shared" si="21"/>
        <v>0.32044785030049117</v>
      </c>
      <c r="AJ110" s="98">
        <f t="shared" si="22"/>
        <v>11.68352862195591</v>
      </c>
      <c r="AK110" s="73">
        <f t="shared" si="23"/>
        <v>0</v>
      </c>
      <c r="AL110" s="98">
        <f t="shared" si="24"/>
        <v>0</v>
      </c>
      <c r="AM110" s="73">
        <f t="shared" si="25"/>
        <v>303.37440110625801</v>
      </c>
      <c r="AN110" s="98">
        <f t="shared" si="26"/>
        <v>11061.030664334166</v>
      </c>
    </row>
    <row r="111" spans="1:41" ht="15.75" customHeight="1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AB111" s="59" t="s">
        <v>54</v>
      </c>
      <c r="AC111" s="73">
        <f t="shared" si="15"/>
        <v>0</v>
      </c>
      <c r="AD111" s="98">
        <f t="shared" si="16"/>
        <v>0</v>
      </c>
      <c r="AE111" s="73">
        <f t="shared" si="17"/>
        <v>1.8908866793633254</v>
      </c>
      <c r="AF111" s="98">
        <f t="shared" si="18"/>
        <v>118.1766356868491</v>
      </c>
      <c r="AG111" s="73">
        <f t="shared" si="19"/>
        <v>305.29733257053124</v>
      </c>
      <c r="AH111" s="98">
        <f t="shared" si="20"/>
        <v>19080.472690993065</v>
      </c>
      <c r="AI111" s="73">
        <f t="shared" si="21"/>
        <v>305.29733257053124</v>
      </c>
      <c r="AJ111" s="98">
        <f t="shared" si="22"/>
        <v>19080.472690993065</v>
      </c>
      <c r="AK111" s="73">
        <f t="shared" si="23"/>
        <v>2.100985200662302</v>
      </c>
      <c r="AL111" s="98">
        <f t="shared" si="24"/>
        <v>131.30737307099253</v>
      </c>
      <c r="AM111" s="73">
        <f t="shared" si="25"/>
        <v>0</v>
      </c>
      <c r="AN111" s="98">
        <f t="shared" si="26"/>
        <v>0</v>
      </c>
    </row>
    <row r="112" spans="1:41" ht="15.75" customHeight="1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AB112" s="59" t="s">
        <v>55</v>
      </c>
      <c r="AC112" s="73">
        <f t="shared" si="15"/>
        <v>0</v>
      </c>
      <c r="AD112" s="98">
        <f t="shared" si="16"/>
        <v>0</v>
      </c>
      <c r="AE112" s="73">
        <f t="shared" si="17"/>
        <v>0.44088302369170368</v>
      </c>
      <c r="AF112" s="98">
        <f t="shared" si="18"/>
        <v>43.629343141507306</v>
      </c>
      <c r="AG112" s="73">
        <f t="shared" si="19"/>
        <v>9.8830685671101968</v>
      </c>
      <c r="AH112" s="98">
        <f t="shared" si="20"/>
        <v>978.01858233265807</v>
      </c>
      <c r="AI112" s="73">
        <f t="shared" si="21"/>
        <v>9.8830685671101968</v>
      </c>
      <c r="AJ112" s="98">
        <f t="shared" si="22"/>
        <v>978.01858233265807</v>
      </c>
      <c r="AK112" s="73">
        <f t="shared" si="23"/>
        <v>9.8830685671101968</v>
      </c>
      <c r="AL112" s="98">
        <f t="shared" si="24"/>
        <v>978.01858233265807</v>
      </c>
      <c r="AM112" s="73">
        <f t="shared" si="25"/>
        <v>0</v>
      </c>
      <c r="AN112" s="98">
        <f t="shared" si="26"/>
        <v>0</v>
      </c>
    </row>
    <row r="113" spans="1:40" ht="15.75" customHeight="1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AB113" s="59" t="s">
        <v>90</v>
      </c>
      <c r="AC113" s="98">
        <f t="shared" ref="AC113:AN113" si="27">SUM(AC109:AC112)</f>
        <v>333.70521728805414</v>
      </c>
      <c r="AD113" s="98">
        <f t="shared" si="27"/>
        <v>33023.13459760855</v>
      </c>
      <c r="AE113" s="98">
        <f t="shared" si="27"/>
        <v>524.03455849275633</v>
      </c>
      <c r="AF113" s="98">
        <f t="shared" si="27"/>
        <v>51770.967351484564</v>
      </c>
      <c r="AG113" s="98">
        <f t="shared" si="27"/>
        <v>827.44100438392422</v>
      </c>
      <c r="AH113" s="98">
        <f t="shared" si="27"/>
        <v>51770.663945038672</v>
      </c>
      <c r="AI113" s="98">
        <f t="shared" si="27"/>
        <v>524.0666032776661</v>
      </c>
      <c r="AJ113" s="98">
        <f t="shared" si="27"/>
        <v>40709.633280704511</v>
      </c>
      <c r="AK113" s="98">
        <f t="shared" si="27"/>
        <v>220.54980805749676</v>
      </c>
      <c r="AL113" s="98">
        <f t="shared" si="27"/>
        <v>21748.784434160472</v>
      </c>
      <c r="AM113" s="98">
        <f t="shared" si="27"/>
        <v>303.37440110625801</v>
      </c>
      <c r="AN113" s="98">
        <f t="shared" si="27"/>
        <v>11061.030664334166</v>
      </c>
    </row>
    <row r="114" spans="1:40" ht="15.75" customHeight="1" x14ac:dyDescent="0.25">
      <c r="A114" s="46"/>
      <c r="B114" s="46"/>
      <c r="C114" s="46"/>
      <c r="D114" s="46"/>
      <c r="E114" s="46"/>
      <c r="F114" s="46"/>
      <c r="G114" s="46"/>
      <c r="H114" s="46"/>
      <c r="I114" s="20"/>
      <c r="J114" s="46"/>
      <c r="K114" s="46"/>
      <c r="L114" s="46"/>
      <c r="M114" s="46"/>
      <c r="N114" s="47"/>
      <c r="O114" s="47"/>
      <c r="P114" s="46"/>
      <c r="Q114" s="46"/>
      <c r="R114" s="46"/>
      <c r="T114" s="47"/>
      <c r="U114" s="47"/>
      <c r="V114" s="47"/>
      <c r="W114" s="46"/>
      <c r="X114" s="46"/>
      <c r="Y114" s="46"/>
      <c r="AB114" s="46"/>
      <c r="AC114" s="46"/>
    </row>
    <row r="115" spans="1:40" ht="15.75" customHeight="1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7"/>
      <c r="O115" s="57" t="s">
        <v>91</v>
      </c>
      <c r="P115" s="58">
        <v>12</v>
      </c>
      <c r="Q115" s="49"/>
      <c r="R115" s="46"/>
      <c r="T115" s="47"/>
      <c r="U115" s="47"/>
      <c r="V115" s="57" t="s">
        <v>92</v>
      </c>
      <c r="W115" s="58">
        <v>11</v>
      </c>
      <c r="X115" s="49"/>
      <c r="Y115" s="46"/>
      <c r="AB115" s="46"/>
      <c r="AC115" s="86">
        <v>7</v>
      </c>
      <c r="AD115" s="86"/>
      <c r="AE115" s="86">
        <v>8</v>
      </c>
      <c r="AF115" s="86"/>
      <c r="AG115" s="86">
        <v>9</v>
      </c>
      <c r="AH115" s="86"/>
      <c r="AI115" s="86">
        <v>10</v>
      </c>
      <c r="AJ115" s="86"/>
      <c r="AK115" s="86">
        <v>11</v>
      </c>
      <c r="AL115" s="86"/>
    </row>
    <row r="116" spans="1:40" ht="15.75" customHeight="1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7"/>
      <c r="O116" s="59" t="s">
        <v>52</v>
      </c>
      <c r="P116" s="63">
        <f t="shared" ref="P116:P119" si="28">(1-$O$101)*W100</f>
        <v>52.141438572431063</v>
      </c>
      <c r="Q116" s="49"/>
      <c r="R116" s="46"/>
      <c r="T116" s="47"/>
      <c r="U116" s="47"/>
      <c r="V116" s="59" t="s">
        <v>52</v>
      </c>
      <c r="W116" s="63">
        <f t="shared" ref="W116:W119" si="29">W100*$O$101</f>
        <v>5.7934931747145626</v>
      </c>
      <c r="X116" s="49"/>
      <c r="Y116" s="46"/>
      <c r="AB116" s="46"/>
      <c r="AC116" s="95">
        <v>305.19</v>
      </c>
      <c r="AD116" s="95">
        <v>305.19</v>
      </c>
      <c r="AE116" s="95">
        <v>344.35</v>
      </c>
      <c r="AF116" s="95">
        <v>344.35</v>
      </c>
      <c r="AG116" s="95">
        <v>416.64</v>
      </c>
      <c r="AH116" s="95">
        <v>416.64</v>
      </c>
      <c r="AI116" s="95">
        <v>416.64</v>
      </c>
      <c r="AJ116" s="95">
        <v>416.64</v>
      </c>
      <c r="AK116" s="95">
        <f t="shared" ref="AK116:AL116" si="30">146+273.15</f>
        <v>419.15</v>
      </c>
      <c r="AL116" s="95">
        <f t="shared" si="30"/>
        <v>419.15</v>
      </c>
    </row>
    <row r="117" spans="1:40" ht="15.75" customHeight="1" x14ac:dyDescent="0.25">
      <c r="A117" s="46"/>
      <c r="B117" s="46"/>
      <c r="C117" s="46"/>
      <c r="D117" s="46"/>
      <c r="E117" s="46"/>
      <c r="F117" s="46"/>
      <c r="G117" s="46"/>
      <c r="H117" s="62"/>
      <c r="I117" s="62"/>
      <c r="J117" s="46"/>
      <c r="K117" s="46"/>
      <c r="L117" s="46"/>
      <c r="M117" s="46"/>
      <c r="N117" s="47"/>
      <c r="O117" s="59" t="s">
        <v>53</v>
      </c>
      <c r="P117" s="63">
        <f t="shared" si="28"/>
        <v>0</v>
      </c>
      <c r="Q117" s="49"/>
      <c r="R117" s="46"/>
      <c r="T117" s="47"/>
      <c r="U117" s="47"/>
      <c r="V117" s="59" t="s">
        <v>53</v>
      </c>
      <c r="W117" s="63">
        <f t="shared" si="29"/>
        <v>0</v>
      </c>
      <c r="X117" s="49"/>
      <c r="Y117" s="46"/>
      <c r="AB117" s="46"/>
      <c r="AC117" s="95">
        <v>4.8</v>
      </c>
      <c r="AD117" s="95">
        <v>4.8</v>
      </c>
      <c r="AE117" s="95">
        <v>4.8</v>
      </c>
      <c r="AF117" s="95">
        <v>4.8</v>
      </c>
      <c r="AG117" s="95">
        <v>4.8</v>
      </c>
      <c r="AH117" s="95">
        <v>4.8</v>
      </c>
      <c r="AI117" s="95">
        <v>4.8</v>
      </c>
      <c r="AJ117" s="95">
        <v>4.8</v>
      </c>
      <c r="AK117" s="95">
        <v>4.8</v>
      </c>
      <c r="AL117" s="95">
        <v>4.8</v>
      </c>
    </row>
    <row r="118" spans="1:40" ht="15.75" customHeight="1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7"/>
      <c r="O118" s="59" t="s">
        <v>54</v>
      </c>
      <c r="P118" s="63">
        <f t="shared" si="28"/>
        <v>0</v>
      </c>
      <c r="Q118" s="49"/>
      <c r="R118" s="46"/>
      <c r="T118" s="47"/>
      <c r="U118" s="47"/>
      <c r="V118" s="59" t="s">
        <v>54</v>
      </c>
      <c r="W118" s="63">
        <f t="shared" si="29"/>
        <v>0</v>
      </c>
      <c r="X118" s="49"/>
      <c r="Y118" s="46"/>
      <c r="AB118" s="46"/>
      <c r="AC118" s="95" t="s">
        <v>88</v>
      </c>
      <c r="AD118" s="95" t="s">
        <v>89</v>
      </c>
      <c r="AE118" s="95" t="s">
        <v>88</v>
      </c>
      <c r="AF118" s="95" t="s">
        <v>89</v>
      </c>
      <c r="AG118" s="95" t="s">
        <v>88</v>
      </c>
      <c r="AH118" s="95" t="s">
        <v>89</v>
      </c>
      <c r="AI118" s="95" t="s">
        <v>88</v>
      </c>
      <c r="AJ118" s="95" t="s">
        <v>89</v>
      </c>
      <c r="AK118" s="95" t="s">
        <v>88</v>
      </c>
      <c r="AL118" s="95" t="s">
        <v>89</v>
      </c>
    </row>
    <row r="119" spans="1:40" ht="15.75" customHeight="1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7"/>
      <c r="O119" s="59" t="s">
        <v>55</v>
      </c>
      <c r="P119" s="63">
        <f t="shared" si="28"/>
        <v>0.1224675065843443</v>
      </c>
      <c r="Q119" s="49"/>
      <c r="R119" s="46"/>
      <c r="T119" s="47"/>
      <c r="U119" s="47"/>
      <c r="V119" s="59" t="s">
        <v>55</v>
      </c>
      <c r="W119" s="63">
        <f t="shared" si="29"/>
        <v>1.3607500731593811E-2</v>
      </c>
      <c r="X119" s="49"/>
      <c r="Y119" s="46"/>
      <c r="AB119" s="46"/>
      <c r="AC119" s="73">
        <f t="shared" ref="AC119:AC122" si="31">(Y51/$AC$99)*$AD$99</f>
        <v>0</v>
      </c>
      <c r="AD119" s="98">
        <f t="shared" ref="AD119:AD122" si="32">((Y51*$AE90)/$AB$99)*$AF$99</f>
        <v>0</v>
      </c>
      <c r="AE119" s="73">
        <f t="shared" ref="AE119:AE122" si="33">(Y81/$AC$99)*$AD$99</f>
        <v>0</v>
      </c>
      <c r="AF119" s="98">
        <f t="shared" ref="AF119:AF122" si="34">((Y81*$AE90)/$AB$99)*$AF$99</f>
        <v>0</v>
      </c>
      <c r="AG119" s="73">
        <f t="shared" ref="AG119:AG122" si="35">(W100/$AC$99)*$AD$99</f>
        <v>208.56575428972425</v>
      </c>
      <c r="AH119" s="98">
        <f t="shared" ref="AH119:AH122" si="36">((W100*$AE90)/$AB$99)*$AF$99</f>
        <v>20639.458478756824</v>
      </c>
      <c r="AI119" s="73">
        <f t="shared" ref="AI119:AI122" si="37">(W116/$AC$99)*$AD$99</f>
        <v>20.856575428972427</v>
      </c>
      <c r="AJ119" s="98">
        <f t="shared" ref="AJ119:AJ122" si="38">((W116*$AE90)/$AB$99)*$AF$99</f>
        <v>2063.9458478756828</v>
      </c>
      <c r="AK119" s="73">
        <f t="shared" ref="AK119:AK122" si="39">(P116/$AC$99)*$AD$99</f>
        <v>187.70917886075185</v>
      </c>
      <c r="AL119" s="98">
        <f t="shared" ref="AL119:AL122" si="40">((P116*$AE90)/$AB$99)*$AF$99</f>
        <v>18575.512630881141</v>
      </c>
    </row>
    <row r="120" spans="1:40" ht="15.75" customHeight="1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7"/>
      <c r="O120" s="59" t="s">
        <v>57</v>
      </c>
      <c r="P120" s="63">
        <f>SUM(P116:P119)</f>
        <v>52.263906079015406</v>
      </c>
      <c r="Q120" s="49"/>
      <c r="R120" s="46"/>
      <c r="T120" s="47"/>
      <c r="U120" s="47"/>
      <c r="V120" s="59" t="s">
        <v>57</v>
      </c>
      <c r="W120" s="63">
        <f>SUM(W116:W119)</f>
        <v>5.807100675446156</v>
      </c>
      <c r="X120" s="49"/>
      <c r="Y120" s="46"/>
      <c r="AB120" s="46"/>
      <c r="AC120" s="73">
        <f t="shared" si="31"/>
        <v>0.32044785030049117</v>
      </c>
      <c r="AD120" s="98">
        <f t="shared" si="32"/>
        <v>11.68352862195591</v>
      </c>
      <c r="AE120" s="73">
        <f t="shared" si="33"/>
        <v>0</v>
      </c>
      <c r="AF120" s="98">
        <f t="shared" si="34"/>
        <v>0</v>
      </c>
      <c r="AG120" s="73">
        <f t="shared" si="35"/>
        <v>0</v>
      </c>
      <c r="AH120" s="98">
        <f t="shared" si="36"/>
        <v>0</v>
      </c>
      <c r="AI120" s="73">
        <f t="shared" si="37"/>
        <v>0</v>
      </c>
      <c r="AJ120" s="98">
        <f t="shared" si="38"/>
        <v>0</v>
      </c>
      <c r="AK120" s="73">
        <f t="shared" si="39"/>
        <v>0</v>
      </c>
      <c r="AL120" s="98">
        <f t="shared" si="40"/>
        <v>0</v>
      </c>
    </row>
    <row r="121" spans="1:40" ht="15.75" customHeight="1" x14ac:dyDescent="0.25">
      <c r="L121" s="46"/>
      <c r="M121" s="46"/>
      <c r="N121" s="47"/>
      <c r="O121" s="64" t="s">
        <v>58</v>
      </c>
      <c r="P121" s="65">
        <f>146+273.15</f>
        <v>419.15</v>
      </c>
      <c r="Q121" s="49"/>
      <c r="R121" s="46"/>
      <c r="T121" s="47"/>
      <c r="U121" s="47"/>
      <c r="V121" s="64" t="s">
        <v>58</v>
      </c>
      <c r="W121" s="65">
        <v>416.64</v>
      </c>
      <c r="X121" s="49"/>
      <c r="Y121" s="46"/>
      <c r="AB121" s="46"/>
      <c r="AC121" s="73">
        <f t="shared" si="31"/>
        <v>303.19634736986893</v>
      </c>
      <c r="AD121" s="98">
        <f t="shared" si="32"/>
        <v>18949.16531792207</v>
      </c>
      <c r="AE121" s="73">
        <f t="shared" si="33"/>
        <v>2.100985200662302</v>
      </c>
      <c r="AF121" s="98">
        <f t="shared" si="34"/>
        <v>131.30737307099253</v>
      </c>
      <c r="AG121" s="73">
        <f t="shared" si="35"/>
        <v>0</v>
      </c>
      <c r="AH121" s="98">
        <f t="shared" si="36"/>
        <v>0</v>
      </c>
      <c r="AI121" s="73">
        <f t="shared" si="37"/>
        <v>0</v>
      </c>
      <c r="AJ121" s="98">
        <f t="shared" si="38"/>
        <v>0</v>
      </c>
      <c r="AK121" s="73">
        <f t="shared" si="39"/>
        <v>0</v>
      </c>
      <c r="AL121" s="98">
        <f t="shared" si="40"/>
        <v>0</v>
      </c>
    </row>
    <row r="122" spans="1:40" ht="15.75" customHeight="1" x14ac:dyDescent="0.25">
      <c r="L122" s="46"/>
      <c r="M122" s="46"/>
      <c r="N122" s="47"/>
      <c r="O122" s="79" t="s">
        <v>60</v>
      </c>
      <c r="P122" s="67">
        <v>4.8</v>
      </c>
      <c r="Q122" s="46"/>
      <c r="R122" s="46"/>
      <c r="T122" s="47"/>
      <c r="U122" s="47"/>
      <c r="V122" s="79" t="s">
        <v>60</v>
      </c>
      <c r="W122" s="67">
        <v>4.8</v>
      </c>
      <c r="X122" s="46"/>
      <c r="Y122" s="46"/>
      <c r="AB122" s="46"/>
      <c r="AC122" s="73">
        <f t="shared" si="31"/>
        <v>0</v>
      </c>
      <c r="AD122" s="98">
        <f t="shared" si="32"/>
        <v>0</v>
      </c>
      <c r="AE122" s="73">
        <f t="shared" si="33"/>
        <v>9.3931985407728202</v>
      </c>
      <c r="AF122" s="98">
        <f t="shared" si="34"/>
        <v>929.54153439633762</v>
      </c>
      <c r="AG122" s="73">
        <f t="shared" si="35"/>
        <v>0.48987002633737714</v>
      </c>
      <c r="AH122" s="98">
        <f t="shared" si="36"/>
        <v>48.47704793632051</v>
      </c>
      <c r="AI122" s="73">
        <f t="shared" si="37"/>
        <v>4.8987002633737724E-2</v>
      </c>
      <c r="AJ122" s="98">
        <f t="shared" si="38"/>
        <v>4.847704793632051</v>
      </c>
      <c r="AK122" s="73">
        <f t="shared" si="39"/>
        <v>0.44088302370363947</v>
      </c>
      <c r="AL122" s="98">
        <f t="shared" si="40"/>
        <v>43.629343142688455</v>
      </c>
    </row>
    <row r="123" spans="1:40" ht="15.75" customHeight="1" x14ac:dyDescent="0.25">
      <c r="L123" s="46"/>
      <c r="M123" s="46"/>
      <c r="N123" s="47"/>
      <c r="Q123" s="46"/>
      <c r="R123" s="46"/>
      <c r="T123" s="47"/>
      <c r="U123" s="47"/>
      <c r="X123" s="46"/>
      <c r="Y123" s="46"/>
      <c r="AB123" s="46"/>
      <c r="AC123" s="98">
        <f t="shared" ref="AC123:AL123" si="41">SUM(AC119:AC122)</f>
        <v>303.5167952201694</v>
      </c>
      <c r="AD123" s="98">
        <f t="shared" si="41"/>
        <v>18960.848846544028</v>
      </c>
      <c r="AE123" s="98">
        <f t="shared" si="41"/>
        <v>11.494183741435123</v>
      </c>
      <c r="AF123" s="98">
        <f t="shared" si="41"/>
        <v>1060.8489074673303</v>
      </c>
      <c r="AG123" s="98">
        <f t="shared" si="41"/>
        <v>209.05562431606162</v>
      </c>
      <c r="AH123" s="98">
        <f t="shared" si="41"/>
        <v>20687.935526693145</v>
      </c>
      <c r="AI123" s="98">
        <f t="shared" si="41"/>
        <v>20.905562431606164</v>
      </c>
      <c r="AJ123" s="98">
        <f t="shared" si="41"/>
        <v>2068.793552669315</v>
      </c>
      <c r="AK123" s="98">
        <f t="shared" si="41"/>
        <v>188.15006188445548</v>
      </c>
      <c r="AL123" s="98">
        <f t="shared" si="41"/>
        <v>18619.141974023831</v>
      </c>
    </row>
    <row r="124" spans="1:40" ht="15.75" customHeight="1" x14ac:dyDescent="0.2">
      <c r="Q124" s="46"/>
      <c r="R124" s="46"/>
      <c r="S124" s="46"/>
      <c r="T124" s="47"/>
      <c r="U124" s="47"/>
      <c r="V124" s="47"/>
      <c r="W124" s="46"/>
      <c r="X124" s="46"/>
      <c r="Y124" s="46"/>
      <c r="Z124" s="46"/>
    </row>
    <row r="125" spans="1:40" ht="15.75" customHeight="1" x14ac:dyDescent="0.2">
      <c r="Q125" s="46"/>
      <c r="R125" s="46"/>
      <c r="S125" s="46"/>
      <c r="T125" s="47"/>
      <c r="U125" s="47"/>
      <c r="V125" s="47"/>
      <c r="W125" s="46"/>
      <c r="X125" s="46"/>
      <c r="Y125" s="46"/>
      <c r="Z125" s="46"/>
      <c r="AA125" s="46"/>
    </row>
    <row r="126" spans="1:40" ht="15.75" customHeight="1" x14ac:dyDescent="0.2">
      <c r="Q126" s="46"/>
      <c r="R126" s="46"/>
      <c r="S126" s="46"/>
      <c r="T126" s="47"/>
      <c r="U126" s="47"/>
      <c r="V126" s="47"/>
      <c r="W126" s="46"/>
      <c r="X126" s="46"/>
      <c r="Y126" s="46"/>
      <c r="Z126" s="46"/>
      <c r="AA126" s="46"/>
    </row>
    <row r="127" spans="1:40" ht="15.75" customHeight="1" x14ac:dyDescent="0.2">
      <c r="Q127" s="46"/>
      <c r="R127" s="46"/>
      <c r="S127" s="46"/>
      <c r="T127" s="47"/>
      <c r="U127" s="47"/>
      <c r="V127" s="47"/>
      <c r="W127" s="46"/>
      <c r="X127" s="46"/>
      <c r="Y127" s="46"/>
      <c r="Z127" s="46"/>
      <c r="AA127" s="46"/>
    </row>
    <row r="128" spans="1:40" ht="15.75" customHeight="1" x14ac:dyDescent="0.2">
      <c r="Q128" s="46"/>
      <c r="R128" s="46"/>
      <c r="S128" s="46"/>
      <c r="T128" s="47"/>
      <c r="U128" s="47"/>
      <c r="V128" s="47"/>
      <c r="W128" s="46"/>
      <c r="X128" s="46"/>
      <c r="Y128" s="46"/>
      <c r="Z128" s="46"/>
      <c r="AA128" s="46"/>
    </row>
    <row r="129" spans="1:27" ht="15.75" customHeight="1" x14ac:dyDescent="0.2">
      <c r="Q129" s="46"/>
      <c r="R129" s="46"/>
      <c r="S129" s="46"/>
      <c r="T129" s="47"/>
      <c r="U129" s="47"/>
      <c r="V129" s="47"/>
      <c r="W129" s="46"/>
      <c r="X129" s="46"/>
      <c r="Y129" s="46"/>
      <c r="Z129" s="46"/>
      <c r="AA129" s="46"/>
    </row>
    <row r="130" spans="1:27" ht="15.75" customHeight="1" x14ac:dyDescent="0.2">
      <c r="Q130" s="46"/>
      <c r="R130" s="46"/>
      <c r="S130" s="46"/>
      <c r="T130" s="47"/>
      <c r="U130" s="47"/>
      <c r="V130" s="47"/>
      <c r="W130" s="46"/>
      <c r="X130" s="46"/>
      <c r="Y130" s="46"/>
      <c r="Z130" s="46"/>
      <c r="AA130" s="46"/>
    </row>
    <row r="131" spans="1:27" ht="15.75" customHeight="1" x14ac:dyDescent="0.25">
      <c r="F131" s="62"/>
      <c r="Q131" s="46"/>
      <c r="R131" s="46"/>
      <c r="S131" s="46"/>
      <c r="T131" s="47"/>
      <c r="U131" s="47"/>
      <c r="V131" s="47"/>
      <c r="W131" s="46"/>
      <c r="X131" s="46"/>
      <c r="Y131" s="46"/>
      <c r="Z131" s="46"/>
      <c r="AA131" s="46"/>
    </row>
    <row r="132" spans="1:27" ht="15.75" customHeight="1" x14ac:dyDescent="0.25">
      <c r="K132" s="62"/>
      <c r="L132" s="62"/>
      <c r="Q132" s="46" t="s">
        <v>93</v>
      </c>
      <c r="R132" s="46"/>
      <c r="S132" s="46" t="s">
        <v>94</v>
      </c>
      <c r="T132" s="47"/>
      <c r="U132" s="47"/>
      <c r="V132" s="47" t="s">
        <v>95</v>
      </c>
      <c r="W132" s="46"/>
      <c r="X132" s="46"/>
      <c r="Y132" s="46"/>
      <c r="Z132" s="46"/>
      <c r="AA132" s="46"/>
    </row>
    <row r="133" spans="1:27" ht="15.75" customHeight="1" x14ac:dyDescent="0.2">
      <c r="A133" s="80" t="s">
        <v>96</v>
      </c>
      <c r="B133" s="46"/>
      <c r="C133" s="46"/>
      <c r="D133" s="46"/>
      <c r="E133" s="80" t="s">
        <v>97</v>
      </c>
      <c r="F133" s="46"/>
      <c r="G133" s="46"/>
      <c r="H133" s="80" t="s">
        <v>98</v>
      </c>
      <c r="I133" s="46"/>
      <c r="J133" s="46"/>
      <c r="K133" s="46"/>
      <c r="L133" s="46"/>
      <c r="M133" s="46"/>
      <c r="Q133" s="99"/>
      <c r="R133" s="99" t="s">
        <v>99</v>
      </c>
      <c r="S133" s="99" t="s">
        <v>100</v>
      </c>
      <c r="T133" s="100" t="s">
        <v>101</v>
      </c>
      <c r="U133" s="100" t="s">
        <v>102</v>
      </c>
      <c r="V133" s="100" t="s">
        <v>103</v>
      </c>
      <c r="W133" s="99" t="s">
        <v>104</v>
      </c>
      <c r="X133" s="46"/>
      <c r="Y133" s="46"/>
      <c r="Z133" s="46"/>
      <c r="AA133" s="46"/>
    </row>
    <row r="134" spans="1:27" ht="15.75" customHeight="1" x14ac:dyDescent="0.25">
      <c r="B134" s="20" t="s">
        <v>105</v>
      </c>
      <c r="C134" s="20" t="s">
        <v>106</v>
      </c>
      <c r="D134" s="20"/>
      <c r="E134" s="46"/>
      <c r="F134" s="46"/>
      <c r="G134" s="46"/>
      <c r="H134" s="46"/>
      <c r="I134" s="46"/>
      <c r="J134" s="46"/>
      <c r="K134" s="46"/>
      <c r="L134" s="46"/>
      <c r="M134" s="46"/>
      <c r="Q134" s="101" t="s">
        <v>52</v>
      </c>
      <c r="R134" s="99">
        <f>83.7+273.5</f>
        <v>357.2</v>
      </c>
      <c r="S134" s="99">
        <f>273.15+146</f>
        <v>419.15</v>
      </c>
      <c r="T134" s="100">
        <f>193+273.15</f>
        <v>466.15</v>
      </c>
      <c r="U134" s="100">
        <f>242+273.15</f>
        <v>515.15</v>
      </c>
      <c r="V134" s="100">
        <f>35*4.18</f>
        <v>146.29999999999998</v>
      </c>
      <c r="W134" s="99">
        <f>15*4.18</f>
        <v>62.699999999999996</v>
      </c>
      <c r="X134" s="46"/>
      <c r="Y134" s="46"/>
      <c r="Z134" s="46"/>
      <c r="AA134" s="46"/>
    </row>
    <row r="135" spans="1:27" ht="15.75" customHeight="1" x14ac:dyDescent="0.25">
      <c r="A135" s="86" t="s">
        <v>52</v>
      </c>
      <c r="B135" s="102">
        <v>-1</v>
      </c>
      <c r="C135" s="102">
        <v>0</v>
      </c>
      <c r="D135" s="20"/>
      <c r="E135" s="103" t="s">
        <v>52</v>
      </c>
      <c r="F135" s="104">
        <v>0.6</v>
      </c>
      <c r="G135" s="46"/>
      <c r="H135" s="59" t="s">
        <v>105</v>
      </c>
      <c r="I135" s="105">
        <f>F135*I18</f>
        <v>86.902397620718446</v>
      </c>
      <c r="J135" s="46"/>
      <c r="K135" s="106"/>
      <c r="L135" s="106"/>
      <c r="M135" s="106"/>
      <c r="Q135" s="101" t="s">
        <v>53</v>
      </c>
      <c r="R135" s="99">
        <f>-84.8+273.15</f>
        <v>188.34999999999997</v>
      </c>
      <c r="S135" s="99">
        <f>-51.7+273.15</f>
        <v>221.45</v>
      </c>
      <c r="T135" s="100">
        <f>-26.2+273.15</f>
        <v>246.95</v>
      </c>
      <c r="U135" s="100">
        <v>273.14999999999998</v>
      </c>
      <c r="V135" s="100">
        <f>19*4.18</f>
        <v>79.419999999999987</v>
      </c>
      <c r="W135" s="99">
        <f>7*4.18</f>
        <v>29.259999999999998</v>
      </c>
      <c r="X135" s="46"/>
      <c r="Y135" s="46"/>
      <c r="Z135" s="46"/>
      <c r="AA135" s="46"/>
    </row>
    <row r="136" spans="1:27" ht="15.75" customHeight="1" x14ac:dyDescent="0.25">
      <c r="A136" s="86" t="s">
        <v>53</v>
      </c>
      <c r="B136" s="102">
        <v>1</v>
      </c>
      <c r="C136" s="102">
        <v>-1</v>
      </c>
      <c r="D136" s="20"/>
      <c r="E136" s="103" t="s">
        <v>54</v>
      </c>
      <c r="F136" s="104">
        <v>0.03</v>
      </c>
      <c r="G136" s="46"/>
      <c r="H136" s="59" t="s">
        <v>106</v>
      </c>
      <c r="I136" s="105">
        <f>F136*I41</f>
        <v>2.6228293176162478</v>
      </c>
      <c r="J136" s="46"/>
      <c r="K136" s="106"/>
      <c r="L136" s="106"/>
      <c r="M136" s="106"/>
      <c r="Q136" s="101" t="s">
        <v>54</v>
      </c>
      <c r="R136" s="99">
        <f>-13.8+273.15</f>
        <v>259.34999999999997</v>
      </c>
      <c r="S136" s="99">
        <f>273.15+33.1</f>
        <v>306.25</v>
      </c>
      <c r="T136" s="100">
        <f>273.15+70.5</f>
        <v>343.65</v>
      </c>
      <c r="U136" s="100">
        <f>273.15+110</f>
        <v>383.15</v>
      </c>
      <c r="V136" s="100">
        <f>27*4.18</f>
        <v>112.85999999999999</v>
      </c>
      <c r="W136" s="99">
        <f>24*4.18</f>
        <v>100.32</v>
      </c>
      <c r="X136" s="46"/>
      <c r="Y136" s="46"/>
      <c r="Z136" s="46"/>
      <c r="AA136" s="46"/>
    </row>
    <row r="137" spans="1:27" ht="15.75" customHeight="1" x14ac:dyDescent="0.25">
      <c r="A137" s="86" t="s">
        <v>54</v>
      </c>
      <c r="B137" s="102">
        <v>1</v>
      </c>
      <c r="C137" s="102">
        <v>-1</v>
      </c>
      <c r="D137" s="20"/>
      <c r="F137" s="62" t="s">
        <v>107</v>
      </c>
      <c r="G137" s="46"/>
      <c r="H137" s="46"/>
      <c r="I137" s="106"/>
      <c r="J137" s="46"/>
      <c r="K137" s="106"/>
      <c r="L137" s="106"/>
      <c r="M137" s="106"/>
      <c r="Q137" s="101" t="s">
        <v>55</v>
      </c>
      <c r="R137" s="99"/>
      <c r="S137" s="99"/>
      <c r="T137" s="100"/>
      <c r="U137" s="100"/>
      <c r="V137" s="100"/>
      <c r="W137" s="99"/>
      <c r="X137" s="46"/>
      <c r="Y137" s="46"/>
      <c r="Z137" s="46"/>
      <c r="AA137" s="46"/>
    </row>
    <row r="138" spans="1:27" ht="15.75" customHeight="1" x14ac:dyDescent="0.25">
      <c r="A138" s="86" t="s">
        <v>55</v>
      </c>
      <c r="B138" s="102">
        <v>0</v>
      </c>
      <c r="C138" s="102">
        <v>1</v>
      </c>
      <c r="D138" s="20"/>
      <c r="E138" s="20"/>
      <c r="F138" s="20"/>
      <c r="G138" s="46"/>
      <c r="H138" s="46"/>
      <c r="I138" s="106"/>
      <c r="J138" s="46"/>
      <c r="K138" s="106"/>
      <c r="L138" s="106"/>
      <c r="M138" s="106"/>
      <c r="Q138" s="46"/>
      <c r="R138" s="46"/>
      <c r="S138" s="46"/>
      <c r="T138" s="47"/>
      <c r="U138" s="47"/>
      <c r="V138" s="47"/>
      <c r="W138" s="46"/>
      <c r="X138" s="46"/>
      <c r="Y138" s="46"/>
      <c r="Z138" s="46"/>
      <c r="AA138" s="46"/>
    </row>
    <row r="139" spans="1:27" ht="15.75" customHeight="1" x14ac:dyDescent="0.25">
      <c r="A139" s="62"/>
      <c r="B139" s="20"/>
      <c r="C139" s="20"/>
      <c r="D139" s="20"/>
      <c r="E139" s="20"/>
      <c r="F139" s="20"/>
      <c r="G139" s="46"/>
      <c r="H139" s="46"/>
      <c r="I139" s="106"/>
      <c r="J139" s="46"/>
      <c r="K139" s="106"/>
      <c r="L139" s="106"/>
      <c r="M139" s="106"/>
      <c r="Q139" s="46"/>
      <c r="R139" s="46"/>
      <c r="S139" s="46"/>
      <c r="T139" s="47"/>
      <c r="U139" s="47"/>
      <c r="V139" s="47"/>
      <c r="W139" s="46"/>
      <c r="X139" s="46"/>
      <c r="Y139" s="46"/>
      <c r="Z139" s="46"/>
      <c r="AA139" s="46"/>
    </row>
    <row r="140" spans="1:27" ht="15.75" customHeight="1" x14ac:dyDescent="0.25">
      <c r="A140" s="62"/>
      <c r="B140" s="20"/>
      <c r="C140" s="20"/>
      <c r="D140" s="20"/>
      <c r="E140" s="20"/>
      <c r="F140" s="20"/>
      <c r="G140" s="46"/>
      <c r="H140" s="46"/>
      <c r="I140" s="20"/>
      <c r="J140" s="46"/>
      <c r="K140" s="106"/>
      <c r="L140" s="106"/>
      <c r="M140" s="106"/>
      <c r="Q140" s="46"/>
      <c r="R140" s="46"/>
      <c r="S140" s="46"/>
      <c r="T140" s="47"/>
      <c r="U140" s="47"/>
      <c r="V140" s="47"/>
      <c r="W140" s="46"/>
      <c r="X140" s="46"/>
      <c r="Y140" s="46"/>
      <c r="Z140" s="46"/>
      <c r="AA140" s="46"/>
    </row>
    <row r="141" spans="1:27" ht="15.75" customHeight="1" x14ac:dyDescent="0.25">
      <c r="A141" s="46"/>
      <c r="B141" s="20"/>
      <c r="C141" s="20"/>
      <c r="D141" s="20"/>
      <c r="E141" s="20"/>
      <c r="F141" s="20"/>
      <c r="G141" s="46"/>
      <c r="H141" s="46"/>
      <c r="I141" s="46"/>
      <c r="J141" s="46"/>
      <c r="K141" s="106"/>
      <c r="L141" s="106"/>
      <c r="M141" s="106"/>
      <c r="Q141" s="46"/>
      <c r="R141" s="46"/>
      <c r="S141" s="46"/>
      <c r="T141" s="47"/>
      <c r="U141" s="47"/>
      <c r="V141" s="47"/>
      <c r="W141" s="46"/>
      <c r="X141" s="46"/>
      <c r="Y141" s="46"/>
      <c r="Z141" s="46"/>
      <c r="AA141" s="46"/>
    </row>
    <row r="142" spans="1:27" ht="15.75" customHeight="1" x14ac:dyDescent="0.2">
      <c r="G142" s="46"/>
      <c r="H142" s="46"/>
      <c r="I142" s="46"/>
      <c r="J142" s="46"/>
      <c r="K142" s="106"/>
      <c r="L142" s="106"/>
      <c r="M142" s="106"/>
      <c r="Q142" s="46"/>
      <c r="R142" s="46"/>
      <c r="S142" s="46"/>
      <c r="T142" s="47"/>
      <c r="U142" s="47"/>
      <c r="V142" s="47"/>
      <c r="W142" s="46"/>
      <c r="X142" s="46"/>
      <c r="Y142" s="46"/>
      <c r="Z142" s="46"/>
      <c r="AA142" s="46"/>
    </row>
    <row r="143" spans="1:27" ht="15.75" customHeight="1" x14ac:dyDescent="0.25">
      <c r="E143" s="20"/>
      <c r="F143" s="20"/>
      <c r="G143" s="46"/>
      <c r="H143" s="46"/>
      <c r="I143" s="46"/>
      <c r="J143" s="46"/>
      <c r="K143" s="106"/>
      <c r="L143" s="106"/>
      <c r="M143" s="106"/>
      <c r="Q143" s="46"/>
      <c r="R143" s="46"/>
      <c r="S143" s="46"/>
      <c r="T143" s="47"/>
      <c r="U143" s="47"/>
      <c r="V143" s="47"/>
      <c r="W143" s="46"/>
      <c r="X143" s="46"/>
      <c r="Y143" s="46"/>
      <c r="Z143" s="46"/>
      <c r="AA143" s="46"/>
    </row>
    <row r="144" spans="1:27" ht="15.75" customHeight="1" x14ac:dyDescent="0.2">
      <c r="A144" s="46"/>
      <c r="B144" s="106"/>
      <c r="C144" s="106"/>
      <c r="D144" s="106"/>
      <c r="H144" s="46"/>
      <c r="I144" s="46"/>
      <c r="R144" s="46"/>
      <c r="S144" s="46"/>
      <c r="T144" s="47"/>
      <c r="U144" s="47"/>
      <c r="V144" s="47"/>
      <c r="W144" s="46"/>
      <c r="X144" s="46"/>
      <c r="Y144" s="46"/>
      <c r="Z144" s="46"/>
      <c r="AA144" s="46"/>
    </row>
    <row r="145" spans="1:27" ht="15.75" customHeight="1" x14ac:dyDescent="0.2">
      <c r="H145" s="46"/>
      <c r="R145" s="46"/>
      <c r="S145" s="46"/>
      <c r="T145" s="47"/>
      <c r="U145" s="47"/>
      <c r="V145" s="47"/>
      <c r="W145" s="46"/>
      <c r="X145" s="46"/>
      <c r="Y145" s="46"/>
      <c r="Z145" s="46"/>
      <c r="AA145" s="46"/>
    </row>
    <row r="146" spans="1:27" ht="15.75" customHeight="1" x14ac:dyDescent="0.2">
      <c r="F146" s="46"/>
      <c r="G146" s="46"/>
      <c r="H146" s="46"/>
      <c r="R146" s="46"/>
      <c r="S146" s="46"/>
      <c r="T146" s="47"/>
      <c r="U146" s="47"/>
      <c r="V146" s="47"/>
      <c r="W146" s="46"/>
      <c r="X146" s="46"/>
      <c r="Y146" s="46"/>
      <c r="Z146" s="46"/>
      <c r="AA146" s="46"/>
    </row>
    <row r="147" spans="1:27" ht="15.75" customHeight="1" x14ac:dyDescent="0.2">
      <c r="F147" s="46"/>
      <c r="G147" s="46"/>
      <c r="H147" s="46"/>
      <c r="R147" s="46"/>
      <c r="S147" s="46"/>
      <c r="T147" s="47"/>
      <c r="U147" s="47"/>
      <c r="V147" s="47"/>
      <c r="W147" s="46"/>
      <c r="X147" s="46"/>
      <c r="Y147" s="46"/>
      <c r="Z147" s="46"/>
      <c r="AA147" s="46"/>
    </row>
    <row r="148" spans="1:27" ht="15.75" customHeight="1" x14ac:dyDescent="0.2">
      <c r="F148" s="46"/>
      <c r="G148" s="46"/>
      <c r="H148" s="46"/>
      <c r="R148" s="46"/>
      <c r="S148" s="46"/>
      <c r="T148" s="47"/>
      <c r="U148" s="47"/>
      <c r="V148" s="47"/>
      <c r="W148" s="46"/>
      <c r="X148" s="46"/>
      <c r="Y148" s="46"/>
      <c r="Z148" s="46"/>
      <c r="AA148" s="46"/>
    </row>
    <row r="149" spans="1:27" ht="15.75" customHeight="1" x14ac:dyDescent="0.2">
      <c r="F149" s="46"/>
      <c r="G149" s="46"/>
      <c r="H149" s="46"/>
      <c r="R149" s="46"/>
      <c r="S149" s="46"/>
      <c r="T149" s="47"/>
      <c r="U149" s="47"/>
      <c r="V149" s="47"/>
      <c r="W149" s="46"/>
      <c r="X149" s="46"/>
      <c r="Y149" s="46"/>
      <c r="Z149" s="46"/>
      <c r="AA149" s="46"/>
    </row>
    <row r="150" spans="1:27" ht="15.75" customHeight="1" x14ac:dyDescent="0.2">
      <c r="F150" s="46"/>
      <c r="G150" s="46"/>
      <c r="H150" s="46"/>
      <c r="R150" s="46"/>
      <c r="S150" s="46"/>
      <c r="T150" s="47"/>
      <c r="U150" s="47"/>
      <c r="V150" s="47"/>
      <c r="W150" s="46"/>
      <c r="X150" s="46"/>
      <c r="Y150" s="46"/>
      <c r="Z150" s="46"/>
      <c r="AA150" s="46"/>
    </row>
    <row r="151" spans="1:27" ht="15.75" customHeight="1" x14ac:dyDescent="0.2">
      <c r="F151" s="46"/>
      <c r="G151" s="46"/>
      <c r="H151" s="46"/>
      <c r="R151" s="46"/>
      <c r="S151" s="46"/>
      <c r="T151" s="47"/>
      <c r="U151" s="47"/>
      <c r="V151" s="47"/>
      <c r="W151" s="46"/>
      <c r="X151" s="46"/>
      <c r="Y151" s="46"/>
      <c r="Z151" s="46"/>
      <c r="AA151" s="46"/>
    </row>
    <row r="152" spans="1:27" ht="15.75" customHeight="1" x14ac:dyDescent="0.2">
      <c r="F152" s="46"/>
      <c r="G152" s="46"/>
      <c r="H152" s="46"/>
      <c r="I152" s="46"/>
      <c r="R152" s="46"/>
      <c r="S152" s="46"/>
      <c r="T152" s="47"/>
      <c r="U152" s="47"/>
      <c r="V152" s="47"/>
      <c r="W152" s="46"/>
      <c r="X152" s="46"/>
      <c r="Y152" s="46"/>
      <c r="Z152" s="46"/>
      <c r="AA152" s="46"/>
    </row>
    <row r="153" spans="1:27" ht="15.75" customHeight="1" x14ac:dyDescent="0.2">
      <c r="F153" s="46"/>
      <c r="G153" s="46"/>
      <c r="H153" s="46"/>
      <c r="I153" s="46"/>
      <c r="R153" s="46"/>
      <c r="S153" s="46"/>
      <c r="T153" s="47"/>
      <c r="U153" s="47"/>
      <c r="V153" s="47"/>
      <c r="W153" s="46"/>
      <c r="X153" s="46"/>
      <c r="Y153" s="46"/>
      <c r="Z153" s="46"/>
      <c r="AA153" s="46"/>
    </row>
    <row r="154" spans="1:27" ht="15.75" customHeight="1" x14ac:dyDescent="0.2">
      <c r="F154" s="46"/>
      <c r="G154" s="46"/>
      <c r="H154" s="46"/>
      <c r="I154" s="46"/>
      <c r="R154" s="46"/>
      <c r="S154" s="46"/>
      <c r="T154" s="47"/>
      <c r="U154" s="47"/>
      <c r="V154" s="47"/>
      <c r="W154" s="46"/>
      <c r="X154" s="46"/>
      <c r="Y154" s="46"/>
      <c r="Z154" s="46"/>
      <c r="AA154" s="46"/>
    </row>
    <row r="155" spans="1:27" ht="15.75" customHeight="1" x14ac:dyDescent="0.2">
      <c r="F155" s="46"/>
      <c r="G155" s="46"/>
      <c r="H155" s="46"/>
      <c r="I155" s="46"/>
      <c r="R155" s="46"/>
      <c r="S155" s="46"/>
      <c r="T155" s="47"/>
      <c r="U155" s="47"/>
      <c r="V155" s="47"/>
      <c r="W155" s="46"/>
      <c r="X155" s="46"/>
      <c r="Y155" s="46"/>
      <c r="Z155" s="46"/>
      <c r="AA155" s="46"/>
    </row>
    <row r="156" spans="1:27" ht="15.75" customHeight="1" x14ac:dyDescent="0.2">
      <c r="F156" s="46"/>
      <c r="G156" s="46"/>
      <c r="H156" s="46"/>
      <c r="I156" s="46"/>
      <c r="R156" s="46"/>
      <c r="S156" s="46"/>
      <c r="T156" s="47"/>
      <c r="U156" s="47"/>
      <c r="V156" s="47"/>
      <c r="W156" s="46"/>
      <c r="X156" s="46"/>
      <c r="Y156" s="46"/>
      <c r="Z156" s="46"/>
      <c r="AA156" s="46"/>
    </row>
    <row r="157" spans="1:27" ht="15.75" customHeight="1" x14ac:dyDescent="0.2">
      <c r="F157" s="46"/>
      <c r="G157" s="46"/>
      <c r="H157" s="46"/>
      <c r="I157" s="46"/>
      <c r="R157" s="46"/>
      <c r="S157" s="46"/>
      <c r="T157" s="47"/>
      <c r="U157" s="47"/>
      <c r="V157" s="47"/>
      <c r="W157" s="46"/>
      <c r="X157" s="46"/>
      <c r="Y157" s="46"/>
      <c r="Z157" s="46"/>
      <c r="AA157" s="46"/>
    </row>
    <row r="158" spans="1:27" ht="15.75" customHeight="1" x14ac:dyDescent="0.2">
      <c r="F158" s="46"/>
      <c r="G158" s="46"/>
      <c r="H158" s="46"/>
      <c r="R158" s="46"/>
      <c r="S158" s="46"/>
      <c r="T158" s="47"/>
      <c r="U158" s="47"/>
      <c r="V158" s="47"/>
      <c r="W158" s="46"/>
      <c r="X158" s="46"/>
      <c r="Y158" s="46"/>
      <c r="Z158" s="46"/>
      <c r="AA158" s="46"/>
    </row>
    <row r="159" spans="1:27" ht="15.75" customHeight="1" x14ac:dyDescent="0.2">
      <c r="A159" s="46"/>
      <c r="B159" s="46"/>
      <c r="C159" s="46"/>
      <c r="D159" s="46"/>
      <c r="E159" s="46"/>
      <c r="F159" s="46"/>
      <c r="G159" s="46"/>
      <c r="O159" s="46"/>
      <c r="P159" s="46"/>
      <c r="Q159" s="46"/>
      <c r="R159" s="46"/>
      <c r="S159" s="46"/>
      <c r="T159" s="47"/>
      <c r="U159" s="47"/>
      <c r="V159" s="47"/>
      <c r="W159" s="46"/>
      <c r="X159" s="46"/>
      <c r="Y159" s="46"/>
      <c r="Z159" s="46"/>
      <c r="AA159" s="46"/>
    </row>
    <row r="160" spans="1:27" ht="15.75" customHeight="1" x14ac:dyDescent="0.2">
      <c r="A160" s="46"/>
      <c r="B160" s="46"/>
      <c r="C160" s="46"/>
      <c r="D160" s="46"/>
      <c r="E160" s="46"/>
      <c r="F160" s="46"/>
      <c r="G160" s="46"/>
      <c r="O160" s="46"/>
      <c r="P160" s="46"/>
      <c r="Q160" s="46"/>
      <c r="R160" s="46"/>
      <c r="S160" s="46"/>
      <c r="T160" s="47"/>
      <c r="U160" s="47"/>
      <c r="V160" s="47"/>
      <c r="W160" s="46"/>
      <c r="X160" s="46"/>
      <c r="Y160" s="46"/>
      <c r="Z160" s="46"/>
      <c r="AA160" s="46"/>
    </row>
    <row r="161" spans="1:27" ht="15.75" customHeight="1" x14ac:dyDescent="0.2">
      <c r="A161" s="46"/>
      <c r="B161" s="46"/>
      <c r="C161" s="46"/>
      <c r="D161" s="46"/>
      <c r="E161" s="46"/>
      <c r="F161" s="46"/>
      <c r="G161" s="46"/>
      <c r="O161" s="46"/>
      <c r="P161" s="46"/>
      <c r="Q161" s="46"/>
      <c r="R161" s="46"/>
      <c r="S161" s="46"/>
      <c r="T161" s="47"/>
      <c r="U161" s="47"/>
      <c r="V161" s="47"/>
      <c r="W161" s="46"/>
      <c r="X161" s="46"/>
      <c r="Y161" s="46"/>
      <c r="Z161" s="46"/>
      <c r="AA161" s="46"/>
    </row>
    <row r="162" spans="1:27" ht="15.75" customHeight="1" x14ac:dyDescent="0.2">
      <c r="A162" s="46"/>
      <c r="B162" s="46"/>
      <c r="C162" s="46"/>
      <c r="D162" s="46"/>
      <c r="E162" s="46"/>
      <c r="F162" s="46"/>
      <c r="G162" s="46"/>
      <c r="O162" s="46"/>
      <c r="P162" s="46"/>
      <c r="Q162" s="46"/>
      <c r="R162" s="46"/>
      <c r="S162" s="46"/>
      <c r="T162" s="47"/>
      <c r="U162" s="47"/>
      <c r="V162" s="47"/>
      <c r="W162" s="46"/>
      <c r="X162" s="46"/>
      <c r="Y162" s="46"/>
      <c r="Z162" s="46"/>
      <c r="AA162" s="46"/>
    </row>
    <row r="163" spans="1:27" ht="15.75" customHeight="1" x14ac:dyDescent="0.2">
      <c r="A163" s="46"/>
      <c r="B163" s="46"/>
      <c r="C163" s="46"/>
      <c r="D163" s="46"/>
      <c r="E163" s="46"/>
      <c r="F163" s="46"/>
      <c r="G163" s="46"/>
      <c r="O163" s="46"/>
      <c r="P163" s="46"/>
      <c r="Q163" s="46"/>
      <c r="R163" s="46"/>
      <c r="S163" s="46"/>
      <c r="T163" s="47"/>
      <c r="U163" s="47"/>
      <c r="V163" s="47"/>
      <c r="W163" s="46"/>
      <c r="X163" s="46"/>
      <c r="Y163" s="46"/>
      <c r="Z163" s="46"/>
      <c r="AA163" s="46"/>
    </row>
    <row r="164" spans="1:27" ht="15.75" customHeight="1" x14ac:dyDescent="0.2"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7"/>
      <c r="U164" s="47"/>
      <c r="V164" s="47"/>
      <c r="W164" s="46"/>
      <c r="X164" s="46"/>
      <c r="Y164" s="46"/>
      <c r="Z164" s="46"/>
      <c r="AA164" s="46"/>
    </row>
    <row r="165" spans="1:27" ht="15.75" customHeight="1" x14ac:dyDescent="0.2"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7"/>
      <c r="U165" s="47"/>
      <c r="V165" s="47"/>
      <c r="W165" s="46"/>
      <c r="X165" s="46"/>
      <c r="Y165" s="46"/>
      <c r="Z165" s="46"/>
      <c r="AA165" s="46"/>
    </row>
    <row r="166" spans="1:27" ht="15.7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7"/>
      <c r="U166" s="47"/>
      <c r="V166" s="47"/>
      <c r="W166" s="46"/>
      <c r="X166" s="46"/>
      <c r="Y166" s="46"/>
      <c r="Z166" s="46"/>
      <c r="AA166" s="46"/>
    </row>
    <row r="167" spans="1:27" ht="15.7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7"/>
      <c r="U167" s="47"/>
      <c r="V167" s="47"/>
      <c r="W167" s="46"/>
      <c r="X167" s="46"/>
      <c r="Y167" s="46"/>
      <c r="Z167" s="46"/>
      <c r="AA167" s="46"/>
    </row>
    <row r="168" spans="1:27" ht="15.7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7"/>
      <c r="U168" s="47"/>
      <c r="V168" s="47"/>
      <c r="W168" s="46"/>
      <c r="X168" s="46"/>
      <c r="Y168" s="46"/>
      <c r="Z168" s="46"/>
      <c r="AA168" s="46"/>
    </row>
    <row r="169" spans="1:27" ht="15.7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7"/>
      <c r="U169" s="47"/>
      <c r="V169" s="47"/>
      <c r="W169" s="46"/>
      <c r="X169" s="46"/>
      <c r="Y169" s="46"/>
      <c r="Z169" s="46"/>
      <c r="AA169" s="46"/>
    </row>
    <row r="170" spans="1:27" ht="15.7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7"/>
      <c r="U170" s="47"/>
      <c r="V170" s="47"/>
      <c r="W170" s="46"/>
      <c r="X170" s="46"/>
      <c r="Y170" s="46"/>
      <c r="Z170" s="46"/>
      <c r="AA170" s="46"/>
    </row>
    <row r="171" spans="1:27" ht="15.7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7"/>
      <c r="U171" s="47"/>
      <c r="V171" s="47"/>
      <c r="W171" s="46"/>
      <c r="X171" s="46"/>
      <c r="Y171" s="46"/>
      <c r="Z171" s="46"/>
      <c r="AA171" s="46"/>
    </row>
    <row r="172" spans="1:27" ht="15.7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7"/>
      <c r="U172" s="47"/>
      <c r="V172" s="47"/>
      <c r="W172" s="46"/>
      <c r="X172" s="46"/>
      <c r="Y172" s="46"/>
      <c r="Z172" s="46"/>
      <c r="AA172" s="46"/>
    </row>
    <row r="173" spans="1:27" ht="15.75" customHeight="1" x14ac:dyDescent="0.2"/>
    <row r="174" spans="1:27" ht="15.75" customHeight="1" x14ac:dyDescent="0.2"/>
    <row r="175" spans="1:27" ht="15.75" customHeight="1" x14ac:dyDescent="0.2"/>
    <row r="176" spans="1:27" ht="15.75" customHeight="1" x14ac:dyDescent="0.2"/>
    <row r="177" s="48" customFormat="1" ht="15.75" customHeight="1" x14ac:dyDescent="0.2"/>
    <row r="178" s="48" customFormat="1" ht="15.75" customHeight="1" x14ac:dyDescent="0.2"/>
    <row r="179" s="48" customFormat="1" ht="15.75" customHeight="1" x14ac:dyDescent="0.2"/>
    <row r="180" s="48" customFormat="1" ht="15.75" customHeight="1" x14ac:dyDescent="0.2"/>
    <row r="181" s="48" customFormat="1" ht="15.75" customHeight="1" x14ac:dyDescent="0.2"/>
    <row r="182" s="48" customFormat="1" ht="15.75" customHeight="1" x14ac:dyDescent="0.2"/>
    <row r="183" s="48" customFormat="1" ht="15.75" customHeight="1" x14ac:dyDescent="0.2"/>
    <row r="184" s="48" customFormat="1" ht="15.75" customHeight="1" x14ac:dyDescent="0.2"/>
    <row r="185" s="48" customFormat="1" ht="15.75" customHeight="1" x14ac:dyDescent="0.2"/>
    <row r="186" s="48" customFormat="1" ht="15.75" customHeight="1" x14ac:dyDescent="0.2"/>
    <row r="187" s="48" customFormat="1" ht="15.75" customHeight="1" x14ac:dyDescent="0.2"/>
    <row r="188" s="48" customFormat="1" ht="15.75" customHeight="1" x14ac:dyDescent="0.2"/>
    <row r="189" s="48" customFormat="1" ht="15.75" customHeight="1" x14ac:dyDescent="0.2"/>
    <row r="190" s="48" customFormat="1" ht="15.75" customHeight="1" x14ac:dyDescent="0.2"/>
    <row r="191" s="48" customFormat="1" ht="15.75" customHeight="1" x14ac:dyDescent="0.2"/>
    <row r="192" s="48" customFormat="1" ht="15.75" customHeight="1" x14ac:dyDescent="0.2"/>
    <row r="193" s="48" customFormat="1" ht="15.75" customHeight="1" x14ac:dyDescent="0.2"/>
    <row r="194" s="48" customFormat="1" ht="15.75" customHeight="1" x14ac:dyDescent="0.2"/>
    <row r="195" s="48" customFormat="1" ht="15.75" customHeight="1" x14ac:dyDescent="0.2"/>
    <row r="196" s="48" customFormat="1" ht="15.75" customHeight="1" x14ac:dyDescent="0.2"/>
    <row r="197" s="48" customFormat="1" ht="15.75" customHeight="1" x14ac:dyDescent="0.2"/>
    <row r="198" s="48" customFormat="1" ht="15.75" customHeight="1" x14ac:dyDescent="0.2"/>
    <row r="199" s="48" customFormat="1" ht="15.75" customHeight="1" x14ac:dyDescent="0.2"/>
    <row r="200" s="48" customFormat="1" ht="15.75" customHeight="1" x14ac:dyDescent="0.2"/>
    <row r="201" s="48" customFormat="1" ht="15.75" customHeight="1" x14ac:dyDescent="0.2"/>
    <row r="202" s="48" customFormat="1" ht="15.75" customHeight="1" x14ac:dyDescent="0.2"/>
    <row r="203" s="48" customFormat="1" ht="15.75" customHeight="1" x14ac:dyDescent="0.2"/>
    <row r="204" s="48" customFormat="1" ht="15.75" customHeight="1" x14ac:dyDescent="0.2"/>
    <row r="205" s="48" customFormat="1" ht="15.75" customHeight="1" x14ac:dyDescent="0.2"/>
    <row r="206" s="48" customFormat="1" ht="15.75" customHeight="1" x14ac:dyDescent="0.2"/>
    <row r="207" s="48" customFormat="1" ht="15.75" customHeight="1" x14ac:dyDescent="0.2"/>
    <row r="208" s="48" customFormat="1" ht="15.75" customHeight="1" x14ac:dyDescent="0.2"/>
    <row r="209" s="48" customFormat="1" ht="15.75" customHeight="1" x14ac:dyDescent="0.2"/>
    <row r="210" s="48" customFormat="1" ht="15.75" customHeight="1" x14ac:dyDescent="0.2"/>
    <row r="211" s="48" customFormat="1" ht="15.75" customHeight="1" x14ac:dyDescent="0.2"/>
    <row r="212" s="48" customFormat="1" ht="15.75" customHeight="1" x14ac:dyDescent="0.2"/>
    <row r="213" s="48" customFormat="1" ht="15.75" customHeight="1" x14ac:dyDescent="0.2"/>
    <row r="214" s="48" customFormat="1" ht="15.75" customHeight="1" x14ac:dyDescent="0.2"/>
    <row r="215" s="48" customFormat="1" ht="15.75" customHeight="1" x14ac:dyDescent="0.2"/>
    <row r="216" s="48" customFormat="1" ht="15.75" customHeight="1" x14ac:dyDescent="0.2"/>
    <row r="217" s="48" customFormat="1" ht="15.75" customHeight="1" x14ac:dyDescent="0.2"/>
    <row r="218" s="48" customFormat="1" ht="15.75" customHeight="1" x14ac:dyDescent="0.2"/>
    <row r="219" s="48" customFormat="1" ht="15.75" customHeight="1" x14ac:dyDescent="0.2"/>
    <row r="220" s="48" customFormat="1" ht="15.75" customHeight="1" x14ac:dyDescent="0.2"/>
    <row r="221" s="48" customFormat="1" ht="15.75" customHeight="1" x14ac:dyDescent="0.2"/>
    <row r="222" s="48" customFormat="1" ht="15.75" customHeight="1" x14ac:dyDescent="0.2"/>
    <row r="223" s="48" customFormat="1" ht="15.75" customHeight="1" x14ac:dyDescent="0.2"/>
    <row r="224" s="48" customFormat="1" ht="15.75" customHeight="1" x14ac:dyDescent="0.2"/>
    <row r="225" s="48" customFormat="1" ht="15.75" customHeight="1" x14ac:dyDescent="0.2"/>
    <row r="226" s="48" customFormat="1" ht="15.75" customHeight="1" x14ac:dyDescent="0.2"/>
    <row r="227" s="48" customFormat="1" ht="15.75" customHeight="1" x14ac:dyDescent="0.2"/>
    <row r="228" s="48" customFormat="1" ht="15.75" customHeight="1" x14ac:dyDescent="0.2"/>
    <row r="229" s="48" customFormat="1" ht="15.75" customHeight="1" x14ac:dyDescent="0.2"/>
    <row r="230" s="48" customFormat="1" ht="15.75" customHeight="1" x14ac:dyDescent="0.2"/>
    <row r="231" s="48" customFormat="1" ht="15.75" customHeight="1" x14ac:dyDescent="0.2"/>
    <row r="232" s="48" customFormat="1" ht="15.75" customHeight="1" x14ac:dyDescent="0.2"/>
    <row r="233" s="48" customFormat="1" ht="15.75" customHeight="1" x14ac:dyDescent="0.2"/>
    <row r="234" s="48" customFormat="1" ht="15.75" customHeight="1" x14ac:dyDescent="0.2"/>
    <row r="235" s="48" customFormat="1" ht="15.75" customHeight="1" x14ac:dyDescent="0.2"/>
    <row r="236" s="48" customFormat="1" ht="15.75" customHeight="1" x14ac:dyDescent="0.2"/>
    <row r="237" s="48" customFormat="1" ht="15.75" customHeight="1" x14ac:dyDescent="0.2"/>
    <row r="238" s="48" customFormat="1" ht="15.75" customHeight="1" x14ac:dyDescent="0.2"/>
    <row r="239" s="48" customFormat="1" ht="15.75" customHeight="1" x14ac:dyDescent="0.2"/>
    <row r="240" s="48" customFormat="1" ht="15.75" customHeight="1" x14ac:dyDescent="0.2"/>
    <row r="241" s="48" customFormat="1" ht="15.75" customHeight="1" x14ac:dyDescent="0.2"/>
    <row r="242" s="48" customFormat="1" ht="15.75" customHeight="1" x14ac:dyDescent="0.2"/>
    <row r="243" s="48" customFormat="1" ht="15.75" customHeight="1" x14ac:dyDescent="0.2"/>
    <row r="244" s="48" customFormat="1" ht="15.75" customHeight="1" x14ac:dyDescent="0.2"/>
    <row r="245" s="48" customFormat="1" ht="15.75" customHeight="1" x14ac:dyDescent="0.2"/>
    <row r="246" s="48" customFormat="1" ht="15.75" customHeight="1" x14ac:dyDescent="0.2"/>
    <row r="247" s="48" customFormat="1" ht="15.75" customHeight="1" x14ac:dyDescent="0.2"/>
    <row r="248" s="48" customFormat="1" ht="15.75" customHeight="1" x14ac:dyDescent="0.2"/>
    <row r="249" s="48" customFormat="1" ht="15.75" customHeight="1" x14ac:dyDescent="0.2"/>
    <row r="250" s="48" customFormat="1" ht="15.75" customHeight="1" x14ac:dyDescent="0.2"/>
    <row r="251" s="48" customFormat="1" ht="15.75" customHeight="1" x14ac:dyDescent="0.2"/>
    <row r="252" s="48" customFormat="1" ht="15.75" customHeight="1" x14ac:dyDescent="0.2"/>
    <row r="253" s="48" customFormat="1" ht="15.75" customHeight="1" x14ac:dyDescent="0.2"/>
    <row r="254" s="48" customFormat="1" ht="15.75" customHeight="1" x14ac:dyDescent="0.2"/>
    <row r="255" s="48" customFormat="1" ht="15.75" customHeight="1" x14ac:dyDescent="0.2"/>
    <row r="256" s="48" customFormat="1" ht="15.75" customHeight="1" x14ac:dyDescent="0.2"/>
    <row r="257" s="48" customFormat="1" ht="15.75" customHeight="1" x14ac:dyDescent="0.2"/>
    <row r="258" s="48" customFormat="1" ht="15.75" customHeight="1" x14ac:dyDescent="0.2"/>
    <row r="259" s="48" customFormat="1" ht="15.75" customHeight="1" x14ac:dyDescent="0.2"/>
    <row r="260" s="48" customFormat="1" ht="15.75" customHeight="1" x14ac:dyDescent="0.2"/>
    <row r="261" s="48" customFormat="1" ht="15.75" customHeight="1" x14ac:dyDescent="0.2"/>
    <row r="262" s="48" customFormat="1" ht="15.75" customHeight="1" x14ac:dyDescent="0.2"/>
    <row r="263" s="48" customFormat="1" ht="15.75" customHeight="1" x14ac:dyDescent="0.2"/>
    <row r="264" s="48" customFormat="1" ht="15.75" customHeight="1" x14ac:dyDescent="0.2"/>
    <row r="265" s="48" customFormat="1" ht="15.75" customHeight="1" x14ac:dyDescent="0.2"/>
    <row r="266" s="48" customFormat="1" ht="15.75" customHeight="1" x14ac:dyDescent="0.2"/>
    <row r="267" s="48" customFormat="1" ht="15.75" customHeight="1" x14ac:dyDescent="0.2"/>
    <row r="268" s="48" customFormat="1" ht="15.75" customHeight="1" x14ac:dyDescent="0.2"/>
    <row r="269" s="48" customFormat="1" ht="15.75" customHeight="1" x14ac:dyDescent="0.2"/>
    <row r="270" s="48" customFormat="1" ht="15.75" customHeight="1" x14ac:dyDescent="0.2"/>
    <row r="271" s="48" customFormat="1" ht="15.75" customHeight="1" x14ac:dyDescent="0.2"/>
    <row r="272" s="48" customFormat="1" ht="15.75" customHeight="1" x14ac:dyDescent="0.2"/>
    <row r="273" s="48" customFormat="1" ht="15.75" customHeight="1" x14ac:dyDescent="0.2"/>
    <row r="274" s="48" customFormat="1" ht="15.75" customHeight="1" x14ac:dyDescent="0.2"/>
    <row r="275" s="48" customFormat="1" ht="15.75" customHeight="1" x14ac:dyDescent="0.2"/>
    <row r="276" s="48" customFormat="1" ht="15.75" customHeight="1" x14ac:dyDescent="0.2"/>
    <row r="277" s="48" customFormat="1" ht="15.75" customHeight="1" x14ac:dyDescent="0.2"/>
    <row r="278" s="48" customFormat="1" ht="15.75" customHeight="1" x14ac:dyDescent="0.2"/>
    <row r="279" s="48" customFormat="1" ht="15.75" customHeight="1" x14ac:dyDescent="0.2"/>
    <row r="280" s="48" customFormat="1" ht="15.75" customHeight="1" x14ac:dyDescent="0.2"/>
    <row r="281" s="48" customFormat="1" ht="15.75" customHeight="1" x14ac:dyDescent="0.2"/>
    <row r="282" s="48" customFormat="1" ht="15.75" customHeight="1" x14ac:dyDescent="0.2"/>
    <row r="283" s="48" customFormat="1" ht="15.75" customHeight="1" x14ac:dyDescent="0.2"/>
    <row r="284" s="48" customFormat="1" ht="15.75" customHeight="1" x14ac:dyDescent="0.2"/>
    <row r="285" s="48" customFormat="1" ht="15.75" customHeight="1" x14ac:dyDescent="0.2"/>
    <row r="286" s="48" customFormat="1" ht="15.75" customHeight="1" x14ac:dyDescent="0.2"/>
    <row r="287" s="48" customFormat="1" ht="15.75" customHeight="1" x14ac:dyDescent="0.2"/>
    <row r="288" s="48" customFormat="1" ht="15.75" customHeight="1" x14ac:dyDescent="0.2"/>
    <row r="289" s="48" customFormat="1" ht="15.75" customHeight="1" x14ac:dyDescent="0.2"/>
    <row r="290" s="48" customFormat="1" ht="15.75" customHeight="1" x14ac:dyDescent="0.2"/>
    <row r="291" s="48" customFormat="1" ht="15.75" customHeight="1" x14ac:dyDescent="0.2"/>
    <row r="292" s="48" customFormat="1" ht="15.75" customHeight="1" x14ac:dyDescent="0.2"/>
    <row r="293" s="48" customFormat="1" ht="15.75" customHeight="1" x14ac:dyDescent="0.2"/>
    <row r="294" s="48" customFormat="1" ht="15.75" customHeight="1" x14ac:dyDescent="0.2"/>
    <row r="295" s="48" customFormat="1" ht="15.75" customHeight="1" x14ac:dyDescent="0.2"/>
    <row r="296" s="48" customFormat="1" ht="15.75" customHeight="1" x14ac:dyDescent="0.2"/>
    <row r="297" s="48" customFormat="1" ht="15.75" customHeight="1" x14ac:dyDescent="0.2"/>
    <row r="298" s="48" customFormat="1" ht="15.75" customHeight="1" x14ac:dyDescent="0.2"/>
    <row r="299" s="48" customFormat="1" ht="15.75" customHeight="1" x14ac:dyDescent="0.2"/>
    <row r="300" s="48" customFormat="1" ht="15.75" customHeight="1" x14ac:dyDescent="0.2"/>
    <row r="301" s="48" customFormat="1" ht="15.75" customHeight="1" x14ac:dyDescent="0.2"/>
    <row r="302" s="48" customFormat="1" ht="15.75" customHeight="1" x14ac:dyDescent="0.2"/>
    <row r="303" s="48" customFormat="1" ht="15.75" customHeight="1" x14ac:dyDescent="0.2"/>
    <row r="304" s="48" customFormat="1" ht="15.75" customHeight="1" x14ac:dyDescent="0.2"/>
    <row r="305" s="48" customFormat="1" ht="15.75" customHeight="1" x14ac:dyDescent="0.2"/>
    <row r="306" s="48" customFormat="1" ht="15.75" customHeight="1" x14ac:dyDescent="0.2"/>
    <row r="307" s="48" customFormat="1" ht="15.75" customHeight="1" x14ac:dyDescent="0.2"/>
    <row r="308" s="48" customFormat="1" ht="15.75" customHeight="1" x14ac:dyDescent="0.2"/>
    <row r="309" s="48" customFormat="1" ht="15.75" customHeight="1" x14ac:dyDescent="0.2"/>
    <row r="310" s="48" customFormat="1" ht="15.75" customHeight="1" x14ac:dyDescent="0.2"/>
    <row r="311" s="48" customFormat="1" ht="15.75" customHeight="1" x14ac:dyDescent="0.2"/>
    <row r="312" s="48" customFormat="1" ht="15.75" customHeight="1" x14ac:dyDescent="0.2"/>
    <row r="313" s="48" customFormat="1" ht="15.75" customHeight="1" x14ac:dyDescent="0.2"/>
    <row r="314" s="48" customFormat="1" ht="15.75" customHeight="1" x14ac:dyDescent="0.2"/>
    <row r="315" s="48" customFormat="1" ht="15.75" customHeight="1" x14ac:dyDescent="0.2"/>
    <row r="316" s="48" customFormat="1" ht="15.75" customHeight="1" x14ac:dyDescent="0.2"/>
    <row r="317" s="48" customFormat="1" ht="15.75" customHeight="1" x14ac:dyDescent="0.2"/>
    <row r="318" s="48" customFormat="1" ht="15.75" customHeight="1" x14ac:dyDescent="0.2"/>
    <row r="319" s="48" customFormat="1" ht="15.75" customHeight="1" x14ac:dyDescent="0.2"/>
    <row r="320" s="48" customFormat="1" ht="15.75" customHeight="1" x14ac:dyDescent="0.2"/>
    <row r="321" s="48" customFormat="1" ht="15.75" customHeight="1" x14ac:dyDescent="0.2"/>
    <row r="322" s="48" customFormat="1" ht="15.75" customHeight="1" x14ac:dyDescent="0.2"/>
    <row r="323" s="48" customFormat="1" ht="15.75" customHeight="1" x14ac:dyDescent="0.2"/>
    <row r="324" s="48" customFormat="1" ht="15.75" customHeight="1" x14ac:dyDescent="0.2"/>
    <row r="325" s="48" customFormat="1" ht="15.75" customHeight="1" x14ac:dyDescent="0.2"/>
    <row r="326" s="48" customFormat="1" ht="15.75" customHeight="1" x14ac:dyDescent="0.2"/>
    <row r="327" s="48" customFormat="1" ht="15.75" customHeight="1" x14ac:dyDescent="0.2"/>
    <row r="328" s="48" customFormat="1" ht="15.75" customHeight="1" x14ac:dyDescent="0.2"/>
    <row r="329" s="48" customFormat="1" ht="15.75" customHeight="1" x14ac:dyDescent="0.2"/>
    <row r="330" s="48" customFormat="1" ht="15.75" customHeight="1" x14ac:dyDescent="0.2"/>
    <row r="331" s="48" customFormat="1" ht="15.75" customHeight="1" x14ac:dyDescent="0.2"/>
    <row r="332" s="48" customFormat="1" ht="15.75" customHeight="1" x14ac:dyDescent="0.2"/>
    <row r="333" s="48" customFormat="1" ht="15.75" customHeight="1" x14ac:dyDescent="0.2"/>
    <row r="334" s="48" customFormat="1" ht="15.75" customHeight="1" x14ac:dyDescent="0.2"/>
    <row r="335" s="48" customFormat="1" ht="15.75" customHeight="1" x14ac:dyDescent="0.2"/>
    <row r="336" s="48" customFormat="1" ht="15.75" customHeight="1" x14ac:dyDescent="0.2"/>
    <row r="337" s="48" customFormat="1" ht="15.75" customHeight="1" x14ac:dyDescent="0.2"/>
    <row r="338" s="48" customFormat="1" ht="15.75" customHeight="1" x14ac:dyDescent="0.2"/>
    <row r="339" s="48" customFormat="1" ht="15.75" customHeight="1" x14ac:dyDescent="0.2"/>
    <row r="340" s="48" customFormat="1" ht="15.75" customHeight="1" x14ac:dyDescent="0.2"/>
    <row r="341" s="48" customFormat="1" ht="15.75" customHeight="1" x14ac:dyDescent="0.2"/>
    <row r="342" s="48" customFormat="1" ht="15.75" customHeight="1" x14ac:dyDescent="0.2"/>
    <row r="343" s="48" customFormat="1" ht="15.75" customHeight="1" x14ac:dyDescent="0.2"/>
    <row r="344" s="48" customFormat="1" ht="15.75" customHeight="1" x14ac:dyDescent="0.2"/>
    <row r="345" s="48" customFormat="1" ht="15.75" customHeight="1" x14ac:dyDescent="0.2"/>
    <row r="346" s="48" customFormat="1" ht="15.75" customHeight="1" x14ac:dyDescent="0.2"/>
    <row r="347" s="48" customFormat="1" ht="15.75" customHeight="1" x14ac:dyDescent="0.2"/>
    <row r="348" s="48" customFormat="1" ht="15.75" customHeight="1" x14ac:dyDescent="0.2"/>
    <row r="349" s="48" customFormat="1" ht="15.75" customHeight="1" x14ac:dyDescent="0.2"/>
    <row r="350" s="48" customFormat="1" ht="15.75" customHeight="1" x14ac:dyDescent="0.2"/>
    <row r="351" s="48" customFormat="1" ht="15.75" customHeight="1" x14ac:dyDescent="0.2"/>
    <row r="352" s="48" customFormat="1" ht="15.75" customHeight="1" x14ac:dyDescent="0.2"/>
    <row r="353" s="48" customFormat="1" ht="15.75" customHeight="1" x14ac:dyDescent="0.2"/>
    <row r="354" s="48" customFormat="1" ht="15.75" customHeight="1" x14ac:dyDescent="0.2"/>
    <row r="355" s="48" customFormat="1" ht="15.75" customHeight="1" x14ac:dyDescent="0.2"/>
    <row r="356" s="48" customFormat="1" ht="15.75" customHeight="1" x14ac:dyDescent="0.2"/>
    <row r="357" s="48" customFormat="1" ht="15.75" customHeight="1" x14ac:dyDescent="0.2"/>
    <row r="358" s="48" customFormat="1" ht="15.75" customHeight="1" x14ac:dyDescent="0.2"/>
    <row r="359" s="48" customFormat="1" ht="15.75" customHeight="1" x14ac:dyDescent="0.2"/>
    <row r="360" s="48" customFormat="1" ht="15.75" customHeight="1" x14ac:dyDescent="0.2"/>
    <row r="361" s="48" customFormat="1" ht="15.75" customHeight="1" x14ac:dyDescent="0.2"/>
    <row r="362" s="48" customFormat="1" ht="15.75" customHeight="1" x14ac:dyDescent="0.2"/>
    <row r="363" s="48" customFormat="1" ht="15.75" customHeight="1" x14ac:dyDescent="0.2"/>
    <row r="364" s="48" customFormat="1" ht="15.75" customHeight="1" x14ac:dyDescent="0.2"/>
    <row r="365" s="48" customFormat="1" ht="15.75" customHeight="1" x14ac:dyDescent="0.2"/>
    <row r="366" s="48" customFormat="1" ht="15.75" customHeight="1" x14ac:dyDescent="0.2"/>
    <row r="367" s="48" customFormat="1" ht="15.75" customHeight="1" x14ac:dyDescent="0.2"/>
    <row r="368" s="48" customFormat="1" ht="15.75" customHeight="1" x14ac:dyDescent="0.2"/>
    <row r="369" s="48" customFormat="1" ht="15.75" customHeight="1" x14ac:dyDescent="0.2"/>
    <row r="370" s="48" customFormat="1" ht="15.75" customHeight="1" x14ac:dyDescent="0.2"/>
    <row r="371" s="48" customFormat="1" ht="15.75" customHeight="1" x14ac:dyDescent="0.2"/>
    <row r="372" s="48" customFormat="1" ht="15.75" customHeight="1" x14ac:dyDescent="0.2"/>
    <row r="373" s="48" customFormat="1" ht="15.75" customHeight="1" x14ac:dyDescent="0.2"/>
    <row r="374" s="48" customFormat="1" ht="15.75" customHeight="1" x14ac:dyDescent="0.2"/>
    <row r="375" s="48" customFormat="1" ht="15.75" customHeight="1" x14ac:dyDescent="0.2"/>
    <row r="376" s="48" customFormat="1" ht="15.75" customHeight="1" x14ac:dyDescent="0.2"/>
    <row r="377" s="48" customFormat="1" ht="15.75" customHeight="1" x14ac:dyDescent="0.2"/>
    <row r="378" s="48" customFormat="1" ht="15.75" customHeight="1" x14ac:dyDescent="0.2"/>
    <row r="379" s="48" customFormat="1" ht="15.75" customHeight="1" x14ac:dyDescent="0.2"/>
    <row r="380" s="48" customFormat="1" ht="15.75" customHeight="1" x14ac:dyDescent="0.2"/>
    <row r="381" s="48" customFormat="1" ht="15.75" customHeight="1" x14ac:dyDescent="0.2"/>
    <row r="382" s="48" customFormat="1" ht="15.75" customHeight="1" x14ac:dyDescent="0.2"/>
    <row r="383" s="48" customFormat="1" ht="15.75" customHeight="1" x14ac:dyDescent="0.2"/>
    <row r="384" s="48" customFormat="1" ht="15.75" customHeight="1" x14ac:dyDescent="0.2"/>
    <row r="385" s="48" customFormat="1" ht="15.75" customHeight="1" x14ac:dyDescent="0.2"/>
    <row r="386" s="48" customFormat="1" ht="15.75" customHeight="1" x14ac:dyDescent="0.2"/>
    <row r="387" s="48" customFormat="1" ht="15.75" customHeight="1" x14ac:dyDescent="0.2"/>
    <row r="388" s="48" customFormat="1" ht="15.75" customHeight="1" x14ac:dyDescent="0.2"/>
    <row r="389" s="48" customFormat="1" ht="15.75" customHeight="1" x14ac:dyDescent="0.2"/>
    <row r="390" s="48" customFormat="1" ht="15.75" customHeight="1" x14ac:dyDescent="0.2"/>
    <row r="391" s="48" customFormat="1" ht="15.75" customHeight="1" x14ac:dyDescent="0.2"/>
    <row r="392" s="48" customFormat="1" ht="15.75" customHeight="1" x14ac:dyDescent="0.2"/>
    <row r="393" s="48" customFormat="1" ht="15.75" customHeight="1" x14ac:dyDescent="0.2"/>
    <row r="394" s="48" customFormat="1" ht="15.75" customHeight="1" x14ac:dyDescent="0.2"/>
    <row r="395" s="48" customFormat="1" ht="15.75" customHeight="1" x14ac:dyDescent="0.2"/>
    <row r="396" s="48" customFormat="1" ht="15.75" customHeight="1" x14ac:dyDescent="0.2"/>
    <row r="397" s="48" customFormat="1" ht="15.75" customHeight="1" x14ac:dyDescent="0.2"/>
    <row r="398" s="48" customFormat="1" ht="15.75" customHeight="1" x14ac:dyDescent="0.2"/>
    <row r="399" s="48" customFormat="1" ht="15.75" customHeight="1" x14ac:dyDescent="0.2"/>
    <row r="400" s="48" customFormat="1" ht="15.75" customHeight="1" x14ac:dyDescent="0.2"/>
    <row r="401" s="48" customFormat="1" ht="15.75" customHeight="1" x14ac:dyDescent="0.2"/>
    <row r="402" s="48" customFormat="1" ht="15.75" customHeight="1" x14ac:dyDescent="0.2"/>
    <row r="403" s="48" customFormat="1" ht="15.75" customHeight="1" x14ac:dyDescent="0.2"/>
    <row r="404" s="48" customFormat="1" ht="15.75" customHeight="1" x14ac:dyDescent="0.2"/>
    <row r="405" s="48" customFormat="1" ht="15.75" customHeight="1" x14ac:dyDescent="0.2"/>
    <row r="406" s="48" customFormat="1" ht="15.75" customHeight="1" x14ac:dyDescent="0.2"/>
    <row r="407" s="48" customFormat="1" ht="15.75" customHeight="1" x14ac:dyDescent="0.2"/>
    <row r="408" s="48" customFormat="1" ht="15.75" customHeight="1" x14ac:dyDescent="0.2"/>
    <row r="409" s="48" customFormat="1" ht="15.75" customHeight="1" x14ac:dyDescent="0.2"/>
    <row r="410" s="48" customFormat="1" ht="15.75" customHeight="1" x14ac:dyDescent="0.2"/>
    <row r="411" s="48" customFormat="1" ht="15.75" customHeight="1" x14ac:dyDescent="0.2"/>
    <row r="412" s="48" customFormat="1" ht="15.75" customHeight="1" x14ac:dyDescent="0.2"/>
    <row r="413" s="48" customFormat="1" ht="15.75" customHeight="1" x14ac:dyDescent="0.2"/>
    <row r="414" s="48" customFormat="1" ht="15.75" customHeight="1" x14ac:dyDescent="0.2"/>
    <row r="415" s="48" customFormat="1" ht="15.75" customHeight="1" x14ac:dyDescent="0.2"/>
    <row r="416" s="48" customFormat="1" ht="15.75" customHeight="1" x14ac:dyDescent="0.2"/>
    <row r="417" s="48" customFormat="1" ht="15.75" customHeight="1" x14ac:dyDescent="0.2"/>
    <row r="418" s="48" customFormat="1" ht="15.75" customHeight="1" x14ac:dyDescent="0.2"/>
    <row r="419" s="48" customFormat="1" ht="15.75" customHeight="1" x14ac:dyDescent="0.2"/>
    <row r="420" s="48" customFormat="1" ht="15.75" customHeight="1" x14ac:dyDescent="0.2"/>
    <row r="421" s="48" customFormat="1" ht="15.75" customHeight="1" x14ac:dyDescent="0.2"/>
    <row r="422" s="48" customFormat="1" ht="15.75" customHeight="1" x14ac:dyDescent="0.2"/>
    <row r="423" s="48" customFormat="1" ht="15.75" customHeight="1" x14ac:dyDescent="0.2"/>
    <row r="424" s="48" customFormat="1" ht="15.75" customHeight="1" x14ac:dyDescent="0.2"/>
    <row r="425" s="48" customFormat="1" ht="15.75" customHeight="1" x14ac:dyDescent="0.2"/>
    <row r="426" s="48" customFormat="1" ht="15.75" customHeight="1" x14ac:dyDescent="0.2"/>
    <row r="427" s="48" customFormat="1" ht="15.75" customHeight="1" x14ac:dyDescent="0.2"/>
    <row r="428" s="48" customFormat="1" ht="15.75" customHeight="1" x14ac:dyDescent="0.2"/>
    <row r="429" s="48" customFormat="1" ht="15.75" customHeight="1" x14ac:dyDescent="0.2"/>
    <row r="430" s="48" customFormat="1" ht="15.75" customHeight="1" x14ac:dyDescent="0.2"/>
    <row r="431" s="48" customFormat="1" ht="15.75" customHeight="1" x14ac:dyDescent="0.2"/>
    <row r="432" s="48" customFormat="1" ht="15.75" customHeight="1" x14ac:dyDescent="0.2"/>
    <row r="433" s="48" customFormat="1" ht="15.75" customHeight="1" x14ac:dyDescent="0.2"/>
    <row r="434" s="48" customFormat="1" ht="15.75" customHeight="1" x14ac:dyDescent="0.2"/>
    <row r="435" s="48" customFormat="1" ht="15.75" customHeight="1" x14ac:dyDescent="0.2"/>
    <row r="436" s="48" customFormat="1" ht="15.75" customHeight="1" x14ac:dyDescent="0.2"/>
    <row r="437" s="48" customFormat="1" ht="15.75" customHeight="1" x14ac:dyDescent="0.2"/>
    <row r="438" s="48" customFormat="1" ht="15.75" customHeight="1" x14ac:dyDescent="0.2"/>
    <row r="439" s="48" customFormat="1" ht="15.75" customHeight="1" x14ac:dyDescent="0.2"/>
    <row r="440" s="48" customFormat="1" ht="15.75" customHeight="1" x14ac:dyDescent="0.2"/>
    <row r="441" s="48" customFormat="1" ht="15.75" customHeight="1" x14ac:dyDescent="0.2"/>
    <row r="442" s="48" customFormat="1" ht="15.75" customHeight="1" x14ac:dyDescent="0.2"/>
    <row r="443" s="48" customFormat="1" ht="15.75" customHeight="1" x14ac:dyDescent="0.2"/>
    <row r="444" s="48" customFormat="1" ht="15.75" customHeight="1" x14ac:dyDescent="0.2"/>
    <row r="445" s="48" customFormat="1" ht="15.75" customHeight="1" x14ac:dyDescent="0.2"/>
    <row r="446" s="48" customFormat="1" ht="15.75" customHeight="1" x14ac:dyDescent="0.2"/>
    <row r="447" s="48" customFormat="1" ht="15.75" customHeight="1" x14ac:dyDescent="0.2"/>
    <row r="448" s="48" customFormat="1" ht="15.75" customHeight="1" x14ac:dyDescent="0.2"/>
    <row r="449" s="48" customFormat="1" ht="15.75" customHeight="1" x14ac:dyDescent="0.2"/>
    <row r="450" s="48" customFormat="1" ht="15.75" customHeight="1" x14ac:dyDescent="0.2"/>
    <row r="451" s="48" customFormat="1" ht="15.75" customHeight="1" x14ac:dyDescent="0.2"/>
    <row r="452" s="48" customFormat="1" ht="15.75" customHeight="1" x14ac:dyDescent="0.2"/>
    <row r="453" s="48" customFormat="1" ht="15.75" customHeight="1" x14ac:dyDescent="0.2"/>
    <row r="454" s="48" customFormat="1" ht="15.75" customHeight="1" x14ac:dyDescent="0.2"/>
    <row r="455" s="48" customFormat="1" ht="15.75" customHeight="1" x14ac:dyDescent="0.2"/>
    <row r="456" s="48" customFormat="1" ht="15.75" customHeight="1" x14ac:dyDescent="0.2"/>
    <row r="457" s="48" customFormat="1" ht="15.75" customHeight="1" x14ac:dyDescent="0.2"/>
    <row r="458" s="48" customFormat="1" ht="15.75" customHeight="1" x14ac:dyDescent="0.2"/>
    <row r="459" s="48" customFormat="1" ht="15.75" customHeight="1" x14ac:dyDescent="0.2"/>
    <row r="460" s="48" customFormat="1" ht="15.75" customHeight="1" x14ac:dyDescent="0.2"/>
    <row r="461" s="48" customFormat="1" ht="15.75" customHeight="1" x14ac:dyDescent="0.2"/>
    <row r="462" s="48" customFormat="1" ht="15.75" customHeight="1" x14ac:dyDescent="0.2"/>
    <row r="463" s="48" customFormat="1" ht="15.75" customHeight="1" x14ac:dyDescent="0.2"/>
    <row r="464" s="48" customFormat="1" ht="15.75" customHeight="1" x14ac:dyDescent="0.2"/>
    <row r="465" s="48" customFormat="1" ht="15.75" customHeight="1" x14ac:dyDescent="0.2"/>
    <row r="466" s="48" customFormat="1" ht="15.75" customHeight="1" x14ac:dyDescent="0.2"/>
    <row r="467" s="48" customFormat="1" ht="15.75" customHeight="1" x14ac:dyDescent="0.2"/>
    <row r="468" s="48" customFormat="1" ht="15.75" customHeight="1" x14ac:dyDescent="0.2"/>
    <row r="469" s="48" customFormat="1" ht="15.75" customHeight="1" x14ac:dyDescent="0.2"/>
    <row r="470" s="48" customFormat="1" ht="15.75" customHeight="1" x14ac:dyDescent="0.2"/>
    <row r="471" s="48" customFormat="1" ht="15.75" customHeight="1" x14ac:dyDescent="0.2"/>
    <row r="472" s="48" customFormat="1" ht="15.75" customHeight="1" x14ac:dyDescent="0.2"/>
    <row r="473" s="48" customFormat="1" ht="15.75" customHeight="1" x14ac:dyDescent="0.2"/>
    <row r="474" s="48" customFormat="1" ht="15.75" customHeight="1" x14ac:dyDescent="0.2"/>
    <row r="475" s="48" customFormat="1" ht="15.75" customHeight="1" x14ac:dyDescent="0.2"/>
    <row r="476" s="48" customFormat="1" ht="15.75" customHeight="1" x14ac:dyDescent="0.2"/>
    <row r="477" s="48" customFormat="1" ht="15.75" customHeight="1" x14ac:dyDescent="0.2"/>
    <row r="478" s="48" customFormat="1" ht="15.75" customHeight="1" x14ac:dyDescent="0.2"/>
    <row r="479" s="48" customFormat="1" ht="15.75" customHeight="1" x14ac:dyDescent="0.2"/>
    <row r="480" s="48" customFormat="1" ht="15.75" customHeight="1" x14ac:dyDescent="0.2"/>
    <row r="481" s="48" customFormat="1" ht="15.75" customHeight="1" x14ac:dyDescent="0.2"/>
    <row r="482" s="48" customFormat="1" ht="15.75" customHeight="1" x14ac:dyDescent="0.2"/>
    <row r="483" s="48" customFormat="1" ht="15.75" customHeight="1" x14ac:dyDescent="0.2"/>
    <row r="484" s="48" customFormat="1" ht="15.75" customHeight="1" x14ac:dyDescent="0.2"/>
    <row r="485" s="48" customFormat="1" ht="15.75" customHeight="1" x14ac:dyDescent="0.2"/>
    <row r="486" s="48" customFormat="1" ht="15.75" customHeight="1" x14ac:dyDescent="0.2"/>
    <row r="487" s="48" customFormat="1" ht="15.75" customHeight="1" x14ac:dyDescent="0.2"/>
    <row r="488" s="48" customFormat="1" ht="15.75" customHeight="1" x14ac:dyDescent="0.2"/>
    <row r="489" s="48" customFormat="1" ht="15.75" customHeight="1" x14ac:dyDescent="0.2"/>
    <row r="490" s="48" customFormat="1" ht="15.75" customHeight="1" x14ac:dyDescent="0.2"/>
    <row r="491" s="48" customFormat="1" ht="15.75" customHeight="1" x14ac:dyDescent="0.2"/>
    <row r="492" s="48" customFormat="1" ht="15.75" customHeight="1" x14ac:dyDescent="0.2"/>
    <row r="493" s="48" customFormat="1" ht="15.75" customHeight="1" x14ac:dyDescent="0.2"/>
    <row r="494" s="48" customFormat="1" ht="15.75" customHeight="1" x14ac:dyDescent="0.2"/>
    <row r="495" s="48" customFormat="1" ht="15.75" customHeight="1" x14ac:dyDescent="0.2"/>
    <row r="496" s="48" customFormat="1" ht="15.75" customHeight="1" x14ac:dyDescent="0.2"/>
    <row r="497" s="48" customFormat="1" ht="15.75" customHeight="1" x14ac:dyDescent="0.2"/>
    <row r="498" s="48" customFormat="1" ht="15.75" customHeight="1" x14ac:dyDescent="0.2"/>
    <row r="499" s="48" customFormat="1" ht="15.75" customHeight="1" x14ac:dyDescent="0.2"/>
    <row r="500" s="48" customFormat="1" ht="15.75" customHeight="1" x14ac:dyDescent="0.2"/>
    <row r="501" s="48" customFormat="1" ht="15.75" customHeight="1" x14ac:dyDescent="0.2"/>
    <row r="502" s="48" customFormat="1" ht="15.75" customHeight="1" x14ac:dyDescent="0.2"/>
    <row r="503" s="48" customFormat="1" ht="15.75" customHeight="1" x14ac:dyDescent="0.2"/>
    <row r="504" s="48" customFormat="1" ht="15.75" customHeight="1" x14ac:dyDescent="0.2"/>
    <row r="505" s="48" customFormat="1" ht="15.75" customHeight="1" x14ac:dyDescent="0.2"/>
    <row r="506" s="48" customFormat="1" ht="15.75" customHeight="1" x14ac:dyDescent="0.2"/>
    <row r="507" s="48" customFormat="1" ht="15.75" customHeight="1" x14ac:dyDescent="0.2"/>
    <row r="508" s="48" customFormat="1" ht="15.75" customHeight="1" x14ac:dyDescent="0.2"/>
    <row r="509" s="48" customFormat="1" ht="15.75" customHeight="1" x14ac:dyDescent="0.2"/>
    <row r="510" s="48" customFormat="1" ht="15.75" customHeight="1" x14ac:dyDescent="0.2"/>
    <row r="511" s="48" customFormat="1" ht="15.75" customHeight="1" x14ac:dyDescent="0.2"/>
    <row r="512" s="48" customFormat="1" ht="15.75" customHeight="1" x14ac:dyDescent="0.2"/>
    <row r="513" s="48" customFormat="1" ht="15.75" customHeight="1" x14ac:dyDescent="0.2"/>
    <row r="514" s="48" customFormat="1" ht="15.75" customHeight="1" x14ac:dyDescent="0.2"/>
    <row r="515" s="48" customFormat="1" ht="15.75" customHeight="1" x14ac:dyDescent="0.2"/>
    <row r="516" s="48" customFormat="1" ht="15.75" customHeight="1" x14ac:dyDescent="0.2"/>
    <row r="517" s="48" customFormat="1" ht="15.75" customHeight="1" x14ac:dyDescent="0.2"/>
    <row r="518" s="48" customFormat="1" ht="15.75" customHeight="1" x14ac:dyDescent="0.2"/>
    <row r="519" s="48" customFormat="1" ht="15.75" customHeight="1" x14ac:dyDescent="0.2"/>
    <row r="520" s="48" customFormat="1" ht="15.75" customHeight="1" x14ac:dyDescent="0.2"/>
    <row r="521" s="48" customFormat="1" ht="15.75" customHeight="1" x14ac:dyDescent="0.2"/>
    <row r="522" s="48" customFormat="1" ht="15.75" customHeight="1" x14ac:dyDescent="0.2"/>
    <row r="523" s="48" customFormat="1" ht="15.75" customHeight="1" x14ac:dyDescent="0.2"/>
    <row r="524" s="48" customFormat="1" ht="15.75" customHeight="1" x14ac:dyDescent="0.2"/>
    <row r="525" s="48" customFormat="1" ht="15.75" customHeight="1" x14ac:dyDescent="0.2"/>
    <row r="526" s="48" customFormat="1" ht="15.75" customHeight="1" x14ac:dyDescent="0.2"/>
    <row r="527" s="48" customFormat="1" ht="15.75" customHeight="1" x14ac:dyDescent="0.2"/>
    <row r="528" s="48" customFormat="1" ht="15.75" customHeight="1" x14ac:dyDescent="0.2"/>
    <row r="529" s="48" customFormat="1" ht="15.75" customHeight="1" x14ac:dyDescent="0.2"/>
    <row r="530" s="48" customFormat="1" ht="15.75" customHeight="1" x14ac:dyDescent="0.2"/>
    <row r="531" s="48" customFormat="1" ht="15.75" customHeight="1" x14ac:dyDescent="0.2"/>
    <row r="532" s="48" customFormat="1" ht="15.75" customHeight="1" x14ac:dyDescent="0.2"/>
    <row r="533" s="48" customFormat="1" ht="15.75" customHeight="1" x14ac:dyDescent="0.2"/>
    <row r="534" s="48" customFormat="1" ht="15.75" customHeight="1" x14ac:dyDescent="0.2"/>
    <row r="535" s="48" customFormat="1" ht="15.75" customHeight="1" x14ac:dyDescent="0.2"/>
    <row r="536" s="48" customFormat="1" ht="15.75" customHeight="1" x14ac:dyDescent="0.2"/>
    <row r="537" s="48" customFormat="1" ht="15.75" customHeight="1" x14ac:dyDescent="0.2"/>
    <row r="538" s="48" customFormat="1" ht="15.75" customHeight="1" x14ac:dyDescent="0.2"/>
    <row r="539" s="48" customFormat="1" ht="15.75" customHeight="1" x14ac:dyDescent="0.2"/>
    <row r="540" s="48" customFormat="1" ht="15.75" customHeight="1" x14ac:dyDescent="0.2"/>
    <row r="541" s="48" customFormat="1" ht="15.75" customHeight="1" x14ac:dyDescent="0.2"/>
    <row r="542" s="48" customFormat="1" ht="15.75" customHeight="1" x14ac:dyDescent="0.2"/>
    <row r="543" s="48" customFormat="1" ht="15.75" customHeight="1" x14ac:dyDescent="0.2"/>
    <row r="544" s="48" customFormat="1" ht="15.75" customHeight="1" x14ac:dyDescent="0.2"/>
    <row r="545" s="48" customFormat="1" ht="15.75" customHeight="1" x14ac:dyDescent="0.2"/>
    <row r="546" s="48" customFormat="1" ht="15.75" customHeight="1" x14ac:dyDescent="0.2"/>
    <row r="547" s="48" customFormat="1" ht="15.75" customHeight="1" x14ac:dyDescent="0.2"/>
    <row r="548" s="48" customFormat="1" ht="15.75" customHeight="1" x14ac:dyDescent="0.2"/>
    <row r="549" s="48" customFormat="1" ht="15.75" customHeight="1" x14ac:dyDescent="0.2"/>
    <row r="550" s="48" customFormat="1" ht="15.75" customHeight="1" x14ac:dyDescent="0.2"/>
    <row r="551" s="48" customFormat="1" ht="15.75" customHeight="1" x14ac:dyDescent="0.2"/>
    <row r="552" s="48" customFormat="1" ht="15.75" customHeight="1" x14ac:dyDescent="0.2"/>
    <row r="553" s="48" customFormat="1" ht="15.75" customHeight="1" x14ac:dyDescent="0.2"/>
    <row r="554" s="48" customFormat="1" ht="15.75" customHeight="1" x14ac:dyDescent="0.2"/>
    <row r="555" s="48" customFormat="1" ht="15.75" customHeight="1" x14ac:dyDescent="0.2"/>
    <row r="556" s="48" customFormat="1" ht="15.75" customHeight="1" x14ac:dyDescent="0.2"/>
    <row r="557" s="48" customFormat="1" ht="15.75" customHeight="1" x14ac:dyDescent="0.2"/>
    <row r="558" s="48" customFormat="1" ht="15.75" customHeight="1" x14ac:dyDescent="0.2"/>
    <row r="559" s="48" customFormat="1" ht="15.75" customHeight="1" x14ac:dyDescent="0.2"/>
    <row r="560" s="48" customFormat="1" ht="15.75" customHeight="1" x14ac:dyDescent="0.2"/>
    <row r="561" s="48" customFormat="1" ht="15.75" customHeight="1" x14ac:dyDescent="0.2"/>
    <row r="562" s="48" customFormat="1" ht="15.75" customHeight="1" x14ac:dyDescent="0.2"/>
    <row r="563" s="48" customFormat="1" ht="15.75" customHeight="1" x14ac:dyDescent="0.2"/>
    <row r="564" s="48" customFormat="1" ht="15.75" customHeight="1" x14ac:dyDescent="0.2"/>
    <row r="565" s="48" customFormat="1" ht="15.75" customHeight="1" x14ac:dyDescent="0.2"/>
    <row r="566" s="48" customFormat="1" ht="15.75" customHeight="1" x14ac:dyDescent="0.2"/>
    <row r="567" s="48" customFormat="1" ht="15.75" customHeight="1" x14ac:dyDescent="0.2"/>
    <row r="568" s="48" customFormat="1" ht="15.75" customHeight="1" x14ac:dyDescent="0.2"/>
    <row r="569" s="48" customFormat="1" ht="15.75" customHeight="1" x14ac:dyDescent="0.2"/>
    <row r="570" s="48" customFormat="1" ht="15.75" customHeight="1" x14ac:dyDescent="0.2"/>
    <row r="571" s="48" customFormat="1" ht="15.75" customHeight="1" x14ac:dyDescent="0.2"/>
    <row r="572" s="48" customFormat="1" ht="15.75" customHeight="1" x14ac:dyDescent="0.2"/>
    <row r="573" s="48" customFormat="1" ht="15.75" customHeight="1" x14ac:dyDescent="0.2"/>
    <row r="574" s="48" customFormat="1" ht="15.75" customHeight="1" x14ac:dyDescent="0.2"/>
    <row r="575" s="48" customFormat="1" ht="15.75" customHeight="1" x14ac:dyDescent="0.2"/>
    <row r="576" s="48" customFormat="1" ht="15.75" customHeight="1" x14ac:dyDescent="0.2"/>
    <row r="577" s="48" customFormat="1" ht="15.75" customHeight="1" x14ac:dyDescent="0.2"/>
    <row r="578" s="48" customFormat="1" ht="15.75" customHeight="1" x14ac:dyDescent="0.2"/>
    <row r="579" s="48" customFormat="1" ht="15.75" customHeight="1" x14ac:dyDescent="0.2"/>
    <row r="580" s="48" customFormat="1" ht="15.75" customHeight="1" x14ac:dyDescent="0.2"/>
    <row r="581" s="48" customFormat="1" ht="15.75" customHeight="1" x14ac:dyDescent="0.2"/>
    <row r="582" s="48" customFormat="1" ht="15.75" customHeight="1" x14ac:dyDescent="0.2"/>
    <row r="583" s="48" customFormat="1" ht="15.75" customHeight="1" x14ac:dyDescent="0.2"/>
    <row r="584" s="48" customFormat="1" ht="15.75" customHeight="1" x14ac:dyDescent="0.2"/>
    <row r="585" s="48" customFormat="1" ht="15.75" customHeight="1" x14ac:dyDescent="0.2"/>
    <row r="586" s="48" customFormat="1" ht="15.75" customHeight="1" x14ac:dyDescent="0.2"/>
    <row r="587" s="48" customFormat="1" ht="15.75" customHeight="1" x14ac:dyDescent="0.2"/>
    <row r="588" s="48" customFormat="1" ht="15.75" customHeight="1" x14ac:dyDescent="0.2"/>
    <row r="589" s="48" customFormat="1" ht="15.75" customHeight="1" x14ac:dyDescent="0.2"/>
    <row r="590" s="48" customFormat="1" ht="15.75" customHeight="1" x14ac:dyDescent="0.2"/>
    <row r="591" s="48" customFormat="1" ht="15.75" customHeight="1" x14ac:dyDescent="0.2"/>
    <row r="592" s="48" customFormat="1" ht="15.75" customHeight="1" x14ac:dyDescent="0.2"/>
    <row r="593" s="48" customFormat="1" ht="15.75" customHeight="1" x14ac:dyDescent="0.2"/>
    <row r="594" s="48" customFormat="1" ht="15.75" customHeight="1" x14ac:dyDescent="0.2"/>
    <row r="595" s="48" customFormat="1" ht="15.75" customHeight="1" x14ac:dyDescent="0.2"/>
    <row r="596" s="48" customFormat="1" ht="15.75" customHeight="1" x14ac:dyDescent="0.2"/>
    <row r="597" s="48" customFormat="1" ht="15.75" customHeight="1" x14ac:dyDescent="0.2"/>
    <row r="598" s="48" customFormat="1" ht="15.75" customHeight="1" x14ac:dyDescent="0.2"/>
    <row r="599" s="48" customFormat="1" ht="15.75" customHeight="1" x14ac:dyDescent="0.2"/>
    <row r="600" s="48" customFormat="1" ht="15.75" customHeight="1" x14ac:dyDescent="0.2"/>
    <row r="601" s="48" customFormat="1" ht="15.75" customHeight="1" x14ac:dyDescent="0.2"/>
    <row r="602" s="48" customFormat="1" ht="15.75" customHeight="1" x14ac:dyDescent="0.2"/>
    <row r="603" s="48" customFormat="1" ht="15.75" customHeight="1" x14ac:dyDescent="0.2"/>
    <row r="604" s="48" customFormat="1" ht="15.75" customHeight="1" x14ac:dyDescent="0.2"/>
    <row r="605" s="48" customFormat="1" ht="15.75" customHeight="1" x14ac:dyDescent="0.2"/>
    <row r="606" s="48" customFormat="1" ht="15.75" customHeight="1" x14ac:dyDescent="0.2"/>
    <row r="607" s="48" customFormat="1" ht="15.75" customHeight="1" x14ac:dyDescent="0.2"/>
    <row r="608" s="48" customFormat="1" ht="15.75" customHeight="1" x14ac:dyDescent="0.2"/>
    <row r="609" s="48" customFormat="1" ht="15.75" customHeight="1" x14ac:dyDescent="0.2"/>
    <row r="610" s="48" customFormat="1" ht="15.75" customHeight="1" x14ac:dyDescent="0.2"/>
    <row r="611" s="48" customFormat="1" ht="15.75" customHeight="1" x14ac:dyDescent="0.2"/>
    <row r="612" s="48" customFormat="1" ht="15.75" customHeight="1" x14ac:dyDescent="0.2"/>
    <row r="613" s="48" customFormat="1" ht="15.75" customHeight="1" x14ac:dyDescent="0.2"/>
    <row r="614" s="48" customFormat="1" ht="15.75" customHeight="1" x14ac:dyDescent="0.2"/>
    <row r="615" s="48" customFormat="1" ht="15.75" customHeight="1" x14ac:dyDescent="0.2"/>
    <row r="616" s="48" customFormat="1" ht="15.75" customHeight="1" x14ac:dyDescent="0.2"/>
    <row r="617" s="48" customFormat="1" ht="15.75" customHeight="1" x14ac:dyDescent="0.2"/>
    <row r="618" s="48" customFormat="1" ht="15.75" customHeight="1" x14ac:dyDescent="0.2"/>
    <row r="619" s="48" customFormat="1" ht="15.75" customHeight="1" x14ac:dyDescent="0.2"/>
    <row r="620" s="48" customFormat="1" ht="15.75" customHeight="1" x14ac:dyDescent="0.2"/>
    <row r="621" s="48" customFormat="1" ht="15.75" customHeight="1" x14ac:dyDescent="0.2"/>
    <row r="622" s="48" customFormat="1" ht="15.75" customHeight="1" x14ac:dyDescent="0.2"/>
    <row r="623" s="48" customFormat="1" ht="15.75" customHeight="1" x14ac:dyDescent="0.2"/>
    <row r="624" s="48" customFormat="1" ht="15.75" customHeight="1" x14ac:dyDescent="0.2"/>
    <row r="625" s="48" customFormat="1" ht="15.75" customHeight="1" x14ac:dyDescent="0.2"/>
    <row r="626" s="48" customFormat="1" ht="15.75" customHeight="1" x14ac:dyDescent="0.2"/>
    <row r="627" s="48" customFormat="1" ht="15.75" customHeight="1" x14ac:dyDescent="0.2"/>
    <row r="628" s="48" customFormat="1" ht="15.75" customHeight="1" x14ac:dyDescent="0.2"/>
    <row r="629" s="48" customFormat="1" ht="15.75" customHeight="1" x14ac:dyDescent="0.2"/>
    <row r="630" s="48" customFormat="1" ht="15.75" customHeight="1" x14ac:dyDescent="0.2"/>
    <row r="631" s="48" customFormat="1" ht="15.75" customHeight="1" x14ac:dyDescent="0.2"/>
    <row r="632" s="48" customFormat="1" ht="15.75" customHeight="1" x14ac:dyDescent="0.2"/>
    <row r="633" s="48" customFormat="1" ht="15.75" customHeight="1" x14ac:dyDescent="0.2"/>
    <row r="634" s="48" customFormat="1" ht="15.75" customHeight="1" x14ac:dyDescent="0.2"/>
    <row r="635" s="48" customFormat="1" ht="15.75" customHeight="1" x14ac:dyDescent="0.2"/>
    <row r="636" s="48" customFormat="1" ht="15.75" customHeight="1" x14ac:dyDescent="0.2"/>
    <row r="637" s="48" customFormat="1" ht="15.75" customHeight="1" x14ac:dyDescent="0.2"/>
    <row r="638" s="48" customFormat="1" ht="15.75" customHeight="1" x14ac:dyDescent="0.2"/>
    <row r="639" s="48" customFormat="1" ht="15.75" customHeight="1" x14ac:dyDescent="0.2"/>
    <row r="640" s="48" customFormat="1" ht="15.75" customHeight="1" x14ac:dyDescent="0.2"/>
    <row r="641" s="48" customFormat="1" ht="15.75" customHeight="1" x14ac:dyDescent="0.2"/>
    <row r="642" s="48" customFormat="1" ht="15.75" customHeight="1" x14ac:dyDescent="0.2"/>
    <row r="643" s="48" customFormat="1" ht="15.75" customHeight="1" x14ac:dyDescent="0.2"/>
    <row r="644" s="48" customFormat="1" ht="15.75" customHeight="1" x14ac:dyDescent="0.2"/>
    <row r="645" s="48" customFormat="1" ht="15.75" customHeight="1" x14ac:dyDescent="0.2"/>
    <row r="646" s="48" customFormat="1" ht="15.75" customHeight="1" x14ac:dyDescent="0.2"/>
    <row r="647" s="48" customFormat="1" ht="15.75" customHeight="1" x14ac:dyDescent="0.2"/>
    <row r="648" s="48" customFormat="1" ht="15.75" customHeight="1" x14ac:dyDescent="0.2"/>
    <row r="649" s="48" customFormat="1" ht="15.75" customHeight="1" x14ac:dyDescent="0.2"/>
    <row r="650" s="48" customFormat="1" ht="15.75" customHeight="1" x14ac:dyDescent="0.2"/>
    <row r="651" s="48" customFormat="1" ht="15.75" customHeight="1" x14ac:dyDescent="0.2"/>
    <row r="652" s="48" customFormat="1" ht="15.75" customHeight="1" x14ac:dyDescent="0.2"/>
    <row r="653" s="48" customFormat="1" ht="15.75" customHeight="1" x14ac:dyDescent="0.2"/>
    <row r="654" s="48" customFormat="1" ht="15.75" customHeight="1" x14ac:dyDescent="0.2"/>
    <row r="655" s="48" customFormat="1" ht="15.75" customHeight="1" x14ac:dyDescent="0.2"/>
    <row r="656" s="48" customFormat="1" ht="15.75" customHeight="1" x14ac:dyDescent="0.2"/>
    <row r="657" s="48" customFormat="1" ht="15.75" customHeight="1" x14ac:dyDescent="0.2"/>
    <row r="658" s="48" customFormat="1" ht="15.75" customHeight="1" x14ac:dyDescent="0.2"/>
    <row r="659" s="48" customFormat="1" ht="15.75" customHeight="1" x14ac:dyDescent="0.2"/>
    <row r="660" s="48" customFormat="1" ht="15.75" customHeight="1" x14ac:dyDescent="0.2"/>
    <row r="661" s="48" customFormat="1" ht="15.75" customHeight="1" x14ac:dyDescent="0.2"/>
    <row r="662" s="48" customFormat="1" ht="15.75" customHeight="1" x14ac:dyDescent="0.2"/>
    <row r="663" s="48" customFormat="1" ht="15.75" customHeight="1" x14ac:dyDescent="0.2"/>
    <row r="664" s="48" customFormat="1" ht="15.75" customHeight="1" x14ac:dyDescent="0.2"/>
    <row r="665" s="48" customFormat="1" ht="15.75" customHeight="1" x14ac:dyDescent="0.2"/>
    <row r="666" s="48" customFormat="1" ht="15.75" customHeight="1" x14ac:dyDescent="0.2"/>
    <row r="667" s="48" customFormat="1" ht="15.75" customHeight="1" x14ac:dyDescent="0.2"/>
    <row r="668" s="48" customFormat="1" ht="15.75" customHeight="1" x14ac:dyDescent="0.2"/>
    <row r="669" s="48" customFormat="1" ht="15.75" customHeight="1" x14ac:dyDescent="0.2"/>
    <row r="670" s="48" customFormat="1" ht="15.75" customHeight="1" x14ac:dyDescent="0.2"/>
    <row r="671" s="48" customFormat="1" ht="15.75" customHeight="1" x14ac:dyDescent="0.2"/>
    <row r="672" s="48" customFormat="1" ht="15.75" customHeight="1" x14ac:dyDescent="0.2"/>
    <row r="673" s="48" customFormat="1" ht="15.75" customHeight="1" x14ac:dyDescent="0.2"/>
    <row r="674" s="48" customFormat="1" ht="15.75" customHeight="1" x14ac:dyDescent="0.2"/>
    <row r="675" s="48" customFormat="1" ht="15.75" customHeight="1" x14ac:dyDescent="0.2"/>
    <row r="676" s="48" customFormat="1" ht="15.75" customHeight="1" x14ac:dyDescent="0.2"/>
    <row r="677" s="48" customFormat="1" ht="15.75" customHeight="1" x14ac:dyDescent="0.2"/>
    <row r="678" s="48" customFormat="1" ht="15.75" customHeight="1" x14ac:dyDescent="0.2"/>
    <row r="679" s="48" customFormat="1" ht="15.75" customHeight="1" x14ac:dyDescent="0.2"/>
    <row r="680" s="48" customFormat="1" ht="15.75" customHeight="1" x14ac:dyDescent="0.2"/>
    <row r="681" s="48" customFormat="1" ht="15.75" customHeight="1" x14ac:dyDescent="0.2"/>
    <row r="682" s="48" customFormat="1" ht="15.75" customHeight="1" x14ac:dyDescent="0.2"/>
    <row r="683" s="48" customFormat="1" ht="15.75" customHeight="1" x14ac:dyDescent="0.2"/>
    <row r="684" s="48" customFormat="1" ht="15.75" customHeight="1" x14ac:dyDescent="0.2"/>
    <row r="685" s="48" customFormat="1" ht="15.75" customHeight="1" x14ac:dyDescent="0.2"/>
    <row r="686" s="48" customFormat="1" ht="15.75" customHeight="1" x14ac:dyDescent="0.2"/>
    <row r="687" s="48" customFormat="1" ht="15.75" customHeight="1" x14ac:dyDescent="0.2"/>
    <row r="688" s="48" customFormat="1" ht="15.75" customHeight="1" x14ac:dyDescent="0.2"/>
    <row r="689" s="48" customFormat="1" ht="15.75" customHeight="1" x14ac:dyDescent="0.2"/>
    <row r="690" s="48" customFormat="1" ht="15.75" customHeight="1" x14ac:dyDescent="0.2"/>
    <row r="691" s="48" customFormat="1" ht="15.75" customHeight="1" x14ac:dyDescent="0.2"/>
    <row r="692" s="48" customFormat="1" ht="15.75" customHeight="1" x14ac:dyDescent="0.2"/>
    <row r="693" s="48" customFormat="1" ht="15.75" customHeight="1" x14ac:dyDescent="0.2"/>
    <row r="694" s="48" customFormat="1" ht="15.75" customHeight="1" x14ac:dyDescent="0.2"/>
    <row r="695" s="48" customFormat="1" ht="15.75" customHeight="1" x14ac:dyDescent="0.2"/>
    <row r="696" s="48" customFormat="1" ht="15.75" customHeight="1" x14ac:dyDescent="0.2"/>
    <row r="697" s="48" customFormat="1" ht="15.75" customHeight="1" x14ac:dyDescent="0.2"/>
    <row r="698" s="48" customFormat="1" ht="15.75" customHeight="1" x14ac:dyDescent="0.2"/>
    <row r="699" s="48" customFormat="1" ht="15.75" customHeight="1" x14ac:dyDescent="0.2"/>
    <row r="700" s="48" customFormat="1" ht="15.75" customHeight="1" x14ac:dyDescent="0.2"/>
    <row r="701" s="48" customFormat="1" ht="15.75" customHeight="1" x14ac:dyDescent="0.2"/>
    <row r="702" s="48" customFormat="1" ht="15.75" customHeight="1" x14ac:dyDescent="0.2"/>
    <row r="703" s="48" customFormat="1" ht="15.75" customHeight="1" x14ac:dyDescent="0.2"/>
    <row r="704" s="48" customFormat="1" ht="15.75" customHeight="1" x14ac:dyDescent="0.2"/>
    <row r="705" s="48" customFormat="1" ht="15.75" customHeight="1" x14ac:dyDescent="0.2"/>
    <row r="706" s="48" customFormat="1" ht="15.75" customHeight="1" x14ac:dyDescent="0.2"/>
    <row r="707" s="48" customFormat="1" ht="15.75" customHeight="1" x14ac:dyDescent="0.2"/>
    <row r="708" s="48" customFormat="1" ht="15.75" customHeight="1" x14ac:dyDescent="0.2"/>
    <row r="709" s="48" customFormat="1" ht="15.75" customHeight="1" x14ac:dyDescent="0.2"/>
    <row r="710" s="48" customFormat="1" ht="15.75" customHeight="1" x14ac:dyDescent="0.2"/>
    <row r="711" s="48" customFormat="1" ht="15.75" customHeight="1" x14ac:dyDescent="0.2"/>
    <row r="712" s="48" customFormat="1" ht="15.75" customHeight="1" x14ac:dyDescent="0.2"/>
    <row r="713" s="48" customFormat="1" ht="15.75" customHeight="1" x14ac:dyDescent="0.2"/>
    <row r="714" s="48" customFormat="1" ht="15.75" customHeight="1" x14ac:dyDescent="0.2"/>
    <row r="715" s="48" customFormat="1" ht="15.75" customHeight="1" x14ac:dyDescent="0.2"/>
    <row r="716" s="48" customFormat="1" ht="15.75" customHeight="1" x14ac:dyDescent="0.2"/>
    <row r="717" s="48" customFormat="1" ht="15.75" customHeight="1" x14ac:dyDescent="0.2"/>
    <row r="718" s="48" customFormat="1" ht="15.75" customHeight="1" x14ac:dyDescent="0.2"/>
    <row r="719" s="48" customFormat="1" ht="15.75" customHeight="1" x14ac:dyDescent="0.2"/>
    <row r="720" s="48" customFormat="1" ht="15.75" customHeight="1" x14ac:dyDescent="0.2"/>
    <row r="721" s="48" customFormat="1" ht="15.75" customHeight="1" x14ac:dyDescent="0.2"/>
    <row r="722" s="48" customFormat="1" ht="15.75" customHeight="1" x14ac:dyDescent="0.2"/>
    <row r="723" s="48" customFormat="1" ht="15.75" customHeight="1" x14ac:dyDescent="0.2"/>
    <row r="724" s="48" customFormat="1" ht="15.75" customHeight="1" x14ac:dyDescent="0.2"/>
    <row r="725" s="48" customFormat="1" ht="15.75" customHeight="1" x14ac:dyDescent="0.2"/>
    <row r="726" s="48" customFormat="1" ht="15.75" customHeight="1" x14ac:dyDescent="0.2"/>
    <row r="727" s="48" customFormat="1" ht="15.75" customHeight="1" x14ac:dyDescent="0.2"/>
    <row r="728" s="48" customFormat="1" ht="15.75" customHeight="1" x14ac:dyDescent="0.2"/>
    <row r="729" s="48" customFormat="1" ht="15.75" customHeight="1" x14ac:dyDescent="0.2"/>
    <row r="730" s="48" customFormat="1" ht="15.75" customHeight="1" x14ac:dyDescent="0.2"/>
    <row r="731" s="48" customFormat="1" ht="15.75" customHeight="1" x14ac:dyDescent="0.2"/>
    <row r="732" s="48" customFormat="1" ht="15.75" customHeight="1" x14ac:dyDescent="0.2"/>
    <row r="733" s="48" customFormat="1" ht="15.75" customHeight="1" x14ac:dyDescent="0.2"/>
    <row r="734" s="48" customFormat="1" ht="15.75" customHeight="1" x14ac:dyDescent="0.2"/>
    <row r="735" s="48" customFormat="1" ht="15.75" customHeight="1" x14ac:dyDescent="0.2"/>
    <row r="736" s="48" customFormat="1" ht="15.75" customHeight="1" x14ac:dyDescent="0.2"/>
    <row r="737" s="48" customFormat="1" ht="15.75" customHeight="1" x14ac:dyDescent="0.2"/>
    <row r="738" s="48" customFormat="1" ht="15.75" customHeight="1" x14ac:dyDescent="0.2"/>
    <row r="739" s="48" customFormat="1" ht="15.75" customHeight="1" x14ac:dyDescent="0.2"/>
    <row r="740" s="48" customFormat="1" ht="15.75" customHeight="1" x14ac:dyDescent="0.2"/>
    <row r="741" s="48" customFormat="1" ht="15.75" customHeight="1" x14ac:dyDescent="0.2"/>
    <row r="742" s="48" customFormat="1" ht="15.75" customHeight="1" x14ac:dyDescent="0.2"/>
    <row r="743" s="48" customFormat="1" ht="15.75" customHeight="1" x14ac:dyDescent="0.2"/>
    <row r="744" s="48" customFormat="1" ht="15.75" customHeight="1" x14ac:dyDescent="0.2"/>
    <row r="745" s="48" customFormat="1" ht="15.75" customHeight="1" x14ac:dyDescent="0.2"/>
    <row r="746" s="48" customFormat="1" ht="15.75" customHeight="1" x14ac:dyDescent="0.2"/>
    <row r="747" s="48" customFormat="1" ht="15.75" customHeight="1" x14ac:dyDescent="0.2"/>
    <row r="748" s="48" customFormat="1" ht="15.75" customHeight="1" x14ac:dyDescent="0.2"/>
    <row r="749" s="48" customFormat="1" ht="15.75" customHeight="1" x14ac:dyDescent="0.2"/>
    <row r="750" s="48" customFormat="1" ht="15.75" customHeight="1" x14ac:dyDescent="0.2"/>
    <row r="751" s="48" customFormat="1" ht="15.75" customHeight="1" x14ac:dyDescent="0.2"/>
    <row r="752" s="48" customFormat="1" ht="15.75" customHeight="1" x14ac:dyDescent="0.2"/>
    <row r="753" s="48" customFormat="1" ht="15.75" customHeight="1" x14ac:dyDescent="0.2"/>
    <row r="754" s="48" customFormat="1" ht="15.75" customHeight="1" x14ac:dyDescent="0.2"/>
    <row r="755" s="48" customFormat="1" ht="15.75" customHeight="1" x14ac:dyDescent="0.2"/>
    <row r="756" s="48" customFormat="1" ht="15.75" customHeight="1" x14ac:dyDescent="0.2"/>
    <row r="757" s="48" customFormat="1" ht="15.75" customHeight="1" x14ac:dyDescent="0.2"/>
    <row r="758" s="48" customFormat="1" ht="15.75" customHeight="1" x14ac:dyDescent="0.2"/>
    <row r="759" s="48" customFormat="1" ht="15.75" customHeight="1" x14ac:dyDescent="0.2"/>
    <row r="760" s="48" customFormat="1" ht="15.75" customHeight="1" x14ac:dyDescent="0.2"/>
    <row r="761" s="48" customFormat="1" ht="15.75" customHeight="1" x14ac:dyDescent="0.2"/>
    <row r="762" s="48" customFormat="1" ht="15.75" customHeight="1" x14ac:dyDescent="0.2"/>
    <row r="763" s="48" customFormat="1" ht="15.75" customHeight="1" x14ac:dyDescent="0.2"/>
    <row r="764" s="48" customFormat="1" ht="15.75" customHeight="1" x14ac:dyDescent="0.2"/>
    <row r="765" s="48" customFormat="1" ht="15.75" customHeight="1" x14ac:dyDescent="0.2"/>
    <row r="766" s="48" customFormat="1" ht="15.75" customHeight="1" x14ac:dyDescent="0.2"/>
    <row r="767" s="48" customFormat="1" ht="15.75" customHeight="1" x14ac:dyDescent="0.2"/>
    <row r="768" s="48" customFormat="1" ht="15.75" customHeight="1" x14ac:dyDescent="0.2"/>
    <row r="769" s="48" customFormat="1" ht="15.75" customHeight="1" x14ac:dyDescent="0.2"/>
    <row r="770" s="48" customFormat="1" ht="15.75" customHeight="1" x14ac:dyDescent="0.2"/>
    <row r="771" s="48" customFormat="1" ht="15.75" customHeight="1" x14ac:dyDescent="0.2"/>
    <row r="772" s="48" customFormat="1" ht="15.75" customHeight="1" x14ac:dyDescent="0.2"/>
    <row r="773" s="48" customFormat="1" ht="15.75" customHeight="1" x14ac:dyDescent="0.2"/>
    <row r="774" s="48" customFormat="1" ht="15.75" customHeight="1" x14ac:dyDescent="0.2"/>
    <row r="775" s="48" customFormat="1" ht="15.75" customHeight="1" x14ac:dyDescent="0.2"/>
    <row r="776" s="48" customFormat="1" ht="15.75" customHeight="1" x14ac:dyDescent="0.2"/>
    <row r="777" s="48" customFormat="1" ht="15.75" customHeight="1" x14ac:dyDescent="0.2"/>
    <row r="778" s="48" customFormat="1" ht="15.75" customHeight="1" x14ac:dyDescent="0.2"/>
    <row r="779" s="48" customFormat="1" ht="15.75" customHeight="1" x14ac:dyDescent="0.2"/>
    <row r="780" s="48" customFormat="1" ht="15.75" customHeight="1" x14ac:dyDescent="0.2"/>
    <row r="781" s="48" customFormat="1" ht="15.75" customHeight="1" x14ac:dyDescent="0.2"/>
    <row r="782" s="48" customFormat="1" ht="15.75" customHeight="1" x14ac:dyDescent="0.2"/>
    <row r="783" s="48" customFormat="1" ht="15.75" customHeight="1" x14ac:dyDescent="0.2"/>
    <row r="784" s="48" customFormat="1" ht="15.75" customHeight="1" x14ac:dyDescent="0.2"/>
    <row r="785" s="48" customFormat="1" ht="15.75" customHeight="1" x14ac:dyDescent="0.2"/>
    <row r="786" s="48" customFormat="1" ht="15.75" customHeight="1" x14ac:dyDescent="0.2"/>
    <row r="787" s="48" customFormat="1" ht="15.75" customHeight="1" x14ac:dyDescent="0.2"/>
    <row r="788" s="48" customFormat="1" ht="15.75" customHeight="1" x14ac:dyDescent="0.2"/>
    <row r="789" s="48" customFormat="1" ht="15.75" customHeight="1" x14ac:dyDescent="0.2"/>
    <row r="790" s="48" customFormat="1" ht="15.75" customHeight="1" x14ac:dyDescent="0.2"/>
    <row r="791" s="48" customFormat="1" ht="15.75" customHeight="1" x14ac:dyDescent="0.2"/>
    <row r="792" s="48" customFormat="1" ht="15.75" customHeight="1" x14ac:dyDescent="0.2"/>
    <row r="793" s="48" customFormat="1" ht="15.75" customHeight="1" x14ac:dyDescent="0.2"/>
    <row r="794" s="48" customFormat="1" ht="15.75" customHeight="1" x14ac:dyDescent="0.2"/>
    <row r="795" s="48" customFormat="1" ht="15.75" customHeight="1" x14ac:dyDescent="0.2"/>
    <row r="796" s="48" customFormat="1" ht="15.75" customHeight="1" x14ac:dyDescent="0.2"/>
    <row r="797" s="48" customFormat="1" ht="15.75" customHeight="1" x14ac:dyDescent="0.2"/>
    <row r="798" s="48" customFormat="1" ht="15.75" customHeight="1" x14ac:dyDescent="0.2"/>
    <row r="799" s="48" customFormat="1" ht="15.75" customHeight="1" x14ac:dyDescent="0.2"/>
    <row r="800" s="48" customFormat="1" ht="15.75" customHeight="1" x14ac:dyDescent="0.2"/>
    <row r="801" s="48" customFormat="1" ht="15.75" customHeight="1" x14ac:dyDescent="0.2"/>
    <row r="802" s="48" customFormat="1" ht="15.75" customHeight="1" x14ac:dyDescent="0.2"/>
    <row r="803" s="48" customFormat="1" ht="15.75" customHeight="1" x14ac:dyDescent="0.2"/>
    <row r="804" s="48" customFormat="1" ht="15.75" customHeight="1" x14ac:dyDescent="0.2"/>
    <row r="805" s="48" customFormat="1" ht="15.75" customHeight="1" x14ac:dyDescent="0.2"/>
    <row r="806" s="48" customFormat="1" ht="15.75" customHeight="1" x14ac:dyDescent="0.2"/>
    <row r="807" s="48" customFormat="1" ht="15.75" customHeight="1" x14ac:dyDescent="0.2"/>
    <row r="808" s="48" customFormat="1" ht="15.75" customHeight="1" x14ac:dyDescent="0.2"/>
    <row r="809" s="48" customFormat="1" ht="15.75" customHeight="1" x14ac:dyDescent="0.2"/>
    <row r="810" s="48" customFormat="1" ht="15.75" customHeight="1" x14ac:dyDescent="0.2"/>
    <row r="811" s="48" customFormat="1" ht="15.75" customHeight="1" x14ac:dyDescent="0.2"/>
    <row r="812" s="48" customFormat="1" ht="15.75" customHeight="1" x14ac:dyDescent="0.2"/>
    <row r="813" s="48" customFormat="1" ht="15.75" customHeight="1" x14ac:dyDescent="0.2"/>
    <row r="814" s="48" customFormat="1" ht="15.75" customHeight="1" x14ac:dyDescent="0.2"/>
    <row r="815" s="48" customFormat="1" ht="15.75" customHeight="1" x14ac:dyDescent="0.2"/>
    <row r="816" s="48" customFormat="1" ht="15.75" customHeight="1" x14ac:dyDescent="0.2"/>
    <row r="817" s="48" customFormat="1" ht="15.75" customHeight="1" x14ac:dyDescent="0.2"/>
    <row r="818" s="48" customFormat="1" ht="15.75" customHeight="1" x14ac:dyDescent="0.2"/>
    <row r="819" s="48" customFormat="1" ht="15.75" customHeight="1" x14ac:dyDescent="0.2"/>
    <row r="820" s="48" customFormat="1" ht="15.75" customHeight="1" x14ac:dyDescent="0.2"/>
    <row r="821" s="48" customFormat="1" ht="15.75" customHeight="1" x14ac:dyDescent="0.2"/>
    <row r="822" s="48" customFormat="1" ht="15.75" customHeight="1" x14ac:dyDescent="0.2"/>
    <row r="823" s="48" customFormat="1" ht="15.75" customHeight="1" x14ac:dyDescent="0.2"/>
    <row r="824" s="48" customFormat="1" ht="15.75" customHeight="1" x14ac:dyDescent="0.2"/>
    <row r="825" s="48" customFormat="1" ht="15.75" customHeight="1" x14ac:dyDescent="0.2"/>
    <row r="826" s="48" customFormat="1" ht="15.75" customHeight="1" x14ac:dyDescent="0.2"/>
    <row r="827" s="48" customFormat="1" ht="15.75" customHeight="1" x14ac:dyDescent="0.2"/>
    <row r="828" s="48" customFormat="1" ht="15.75" customHeight="1" x14ac:dyDescent="0.2"/>
    <row r="829" s="48" customFormat="1" ht="15.75" customHeight="1" x14ac:dyDescent="0.2"/>
    <row r="830" s="48" customFormat="1" ht="15.75" customHeight="1" x14ac:dyDescent="0.2"/>
    <row r="831" s="48" customFormat="1" ht="15.75" customHeight="1" x14ac:dyDescent="0.2"/>
    <row r="832" s="48" customFormat="1" ht="15.75" customHeight="1" x14ac:dyDescent="0.2"/>
    <row r="833" s="48" customFormat="1" ht="15.75" customHeight="1" x14ac:dyDescent="0.2"/>
    <row r="834" s="48" customFormat="1" ht="15.75" customHeight="1" x14ac:dyDescent="0.2"/>
    <row r="835" s="48" customFormat="1" ht="15.75" customHeight="1" x14ac:dyDescent="0.2"/>
    <row r="836" s="48" customFormat="1" ht="15.75" customHeight="1" x14ac:dyDescent="0.2"/>
    <row r="837" s="48" customFormat="1" ht="15.75" customHeight="1" x14ac:dyDescent="0.2"/>
    <row r="838" s="48" customFormat="1" ht="15.75" customHeight="1" x14ac:dyDescent="0.2"/>
    <row r="839" s="48" customFormat="1" ht="15.75" customHeight="1" x14ac:dyDescent="0.2"/>
    <row r="840" s="48" customFormat="1" ht="15.75" customHeight="1" x14ac:dyDescent="0.2"/>
    <row r="841" s="48" customFormat="1" ht="15.75" customHeight="1" x14ac:dyDescent="0.2"/>
    <row r="842" s="48" customFormat="1" ht="15.75" customHeight="1" x14ac:dyDescent="0.2"/>
    <row r="843" s="48" customFormat="1" ht="15.75" customHeight="1" x14ac:dyDescent="0.2"/>
    <row r="844" s="48" customFormat="1" ht="15.75" customHeight="1" x14ac:dyDescent="0.2"/>
    <row r="845" s="48" customFormat="1" ht="15.75" customHeight="1" x14ac:dyDescent="0.2"/>
    <row r="846" s="48" customFormat="1" ht="15.75" customHeight="1" x14ac:dyDescent="0.2"/>
    <row r="847" s="48" customFormat="1" ht="15.75" customHeight="1" x14ac:dyDescent="0.2"/>
    <row r="848" s="48" customFormat="1" ht="15.75" customHeight="1" x14ac:dyDescent="0.2"/>
    <row r="849" s="48" customFormat="1" ht="15.75" customHeight="1" x14ac:dyDescent="0.2"/>
    <row r="850" s="48" customFormat="1" ht="15.75" customHeight="1" x14ac:dyDescent="0.2"/>
    <row r="851" s="48" customFormat="1" ht="15.75" customHeight="1" x14ac:dyDescent="0.2"/>
    <row r="852" s="48" customFormat="1" ht="15.75" customHeight="1" x14ac:dyDescent="0.2"/>
    <row r="853" s="48" customFormat="1" ht="15.75" customHeight="1" x14ac:dyDescent="0.2"/>
    <row r="854" s="48" customFormat="1" ht="15.75" customHeight="1" x14ac:dyDescent="0.2"/>
    <row r="855" s="48" customFormat="1" ht="15.75" customHeight="1" x14ac:dyDescent="0.2"/>
    <row r="856" s="48" customFormat="1" ht="15.75" customHeight="1" x14ac:dyDescent="0.2"/>
    <row r="857" s="48" customFormat="1" ht="15.75" customHeight="1" x14ac:dyDescent="0.2"/>
    <row r="858" s="48" customFormat="1" ht="15.75" customHeight="1" x14ac:dyDescent="0.2"/>
    <row r="859" s="48" customFormat="1" ht="15.75" customHeight="1" x14ac:dyDescent="0.2"/>
    <row r="860" s="48" customFormat="1" ht="15.75" customHeight="1" x14ac:dyDescent="0.2"/>
    <row r="861" s="48" customFormat="1" ht="15.75" customHeight="1" x14ac:dyDescent="0.2"/>
    <row r="862" s="48" customFormat="1" ht="15.75" customHeight="1" x14ac:dyDescent="0.2"/>
    <row r="863" s="48" customFormat="1" ht="15.75" customHeight="1" x14ac:dyDescent="0.2"/>
    <row r="864" s="48" customFormat="1" ht="15.75" customHeight="1" x14ac:dyDescent="0.2"/>
    <row r="865" s="48" customFormat="1" ht="15.75" customHeight="1" x14ac:dyDescent="0.2"/>
    <row r="866" s="48" customFormat="1" ht="15.75" customHeight="1" x14ac:dyDescent="0.2"/>
    <row r="867" s="48" customFormat="1" ht="15.75" customHeight="1" x14ac:dyDescent="0.2"/>
    <row r="868" s="48" customFormat="1" ht="15.75" customHeight="1" x14ac:dyDescent="0.2"/>
    <row r="869" s="48" customFormat="1" ht="15.75" customHeight="1" x14ac:dyDescent="0.2"/>
    <row r="870" s="48" customFormat="1" ht="15.75" customHeight="1" x14ac:dyDescent="0.2"/>
    <row r="871" s="48" customFormat="1" ht="15.75" customHeight="1" x14ac:dyDescent="0.2"/>
    <row r="872" s="48" customFormat="1" ht="15.75" customHeight="1" x14ac:dyDescent="0.2"/>
    <row r="873" s="48" customFormat="1" ht="15.75" customHeight="1" x14ac:dyDescent="0.2"/>
    <row r="874" s="48" customFormat="1" ht="15.75" customHeight="1" x14ac:dyDescent="0.2"/>
    <row r="875" s="48" customFormat="1" ht="15.75" customHeight="1" x14ac:dyDescent="0.2"/>
    <row r="876" s="48" customFormat="1" ht="15.75" customHeight="1" x14ac:dyDescent="0.2"/>
    <row r="877" s="48" customFormat="1" ht="15.75" customHeight="1" x14ac:dyDescent="0.2"/>
    <row r="878" s="48" customFormat="1" ht="15.75" customHeight="1" x14ac:dyDescent="0.2"/>
    <row r="879" s="48" customFormat="1" ht="15.75" customHeight="1" x14ac:dyDescent="0.2"/>
    <row r="880" s="48" customFormat="1" ht="15.75" customHeight="1" x14ac:dyDescent="0.2"/>
    <row r="881" s="48" customFormat="1" ht="15.75" customHeight="1" x14ac:dyDescent="0.2"/>
    <row r="882" s="48" customFormat="1" ht="15.75" customHeight="1" x14ac:dyDescent="0.2"/>
    <row r="883" s="48" customFormat="1" ht="15.75" customHeight="1" x14ac:dyDescent="0.2"/>
    <row r="884" s="48" customFormat="1" ht="15.75" customHeight="1" x14ac:dyDescent="0.2"/>
    <row r="885" s="48" customFormat="1" ht="15.75" customHeight="1" x14ac:dyDescent="0.2"/>
    <row r="886" s="48" customFormat="1" ht="15.75" customHeight="1" x14ac:dyDescent="0.2"/>
    <row r="887" s="48" customFormat="1" ht="15.75" customHeight="1" x14ac:dyDescent="0.2"/>
    <row r="888" s="48" customFormat="1" ht="15.75" customHeight="1" x14ac:dyDescent="0.2"/>
    <row r="889" s="48" customFormat="1" ht="15.75" customHeight="1" x14ac:dyDescent="0.2"/>
    <row r="890" s="48" customFormat="1" ht="15.75" customHeight="1" x14ac:dyDescent="0.2"/>
    <row r="891" s="48" customFormat="1" ht="15.75" customHeight="1" x14ac:dyDescent="0.2"/>
    <row r="892" s="48" customFormat="1" ht="15.75" customHeight="1" x14ac:dyDescent="0.2"/>
    <row r="893" s="48" customFormat="1" ht="15.75" customHeight="1" x14ac:dyDescent="0.2"/>
    <row r="894" s="48" customFormat="1" ht="15.75" customHeight="1" x14ac:dyDescent="0.2"/>
    <row r="895" s="48" customFormat="1" ht="15.75" customHeight="1" x14ac:dyDescent="0.2"/>
    <row r="896" s="48" customFormat="1" ht="15.75" customHeight="1" x14ac:dyDescent="0.2"/>
    <row r="897" s="48" customFormat="1" ht="15.75" customHeight="1" x14ac:dyDescent="0.2"/>
    <row r="898" s="48" customFormat="1" ht="15.75" customHeight="1" x14ac:dyDescent="0.2"/>
    <row r="899" s="48" customFormat="1" ht="15.75" customHeight="1" x14ac:dyDescent="0.2"/>
    <row r="900" s="48" customFormat="1" ht="15.75" customHeight="1" x14ac:dyDescent="0.2"/>
    <row r="901" s="48" customFormat="1" ht="15.75" customHeight="1" x14ac:dyDescent="0.2"/>
    <row r="902" s="48" customFormat="1" ht="15.75" customHeight="1" x14ac:dyDescent="0.2"/>
    <row r="903" s="48" customFormat="1" ht="15.75" customHeight="1" x14ac:dyDescent="0.2"/>
    <row r="904" s="48" customFormat="1" ht="15.75" customHeight="1" x14ac:dyDescent="0.2"/>
    <row r="905" s="48" customFormat="1" ht="15.75" customHeight="1" x14ac:dyDescent="0.2"/>
    <row r="906" s="48" customFormat="1" ht="15.75" customHeight="1" x14ac:dyDescent="0.2"/>
    <row r="907" s="48" customFormat="1" ht="15.75" customHeight="1" x14ac:dyDescent="0.2"/>
    <row r="908" s="48" customFormat="1" ht="15.75" customHeight="1" x14ac:dyDescent="0.2"/>
    <row r="909" s="48" customFormat="1" ht="15.75" customHeight="1" x14ac:dyDescent="0.2"/>
    <row r="910" s="48" customFormat="1" ht="15.75" customHeight="1" x14ac:dyDescent="0.2"/>
    <row r="911" s="48" customFormat="1" ht="15.75" customHeight="1" x14ac:dyDescent="0.2"/>
    <row r="912" s="48" customFormat="1" ht="15.75" customHeight="1" x14ac:dyDescent="0.2"/>
    <row r="913" s="48" customFormat="1" ht="15.75" customHeight="1" x14ac:dyDescent="0.2"/>
    <row r="914" s="48" customFormat="1" ht="15.75" customHeight="1" x14ac:dyDescent="0.2"/>
    <row r="915" s="48" customFormat="1" ht="15.75" customHeight="1" x14ac:dyDescent="0.2"/>
    <row r="916" s="48" customFormat="1" ht="15.75" customHeight="1" x14ac:dyDescent="0.2"/>
    <row r="917" s="48" customFormat="1" ht="15.75" customHeight="1" x14ac:dyDescent="0.2"/>
    <row r="918" s="48" customFormat="1" ht="15.75" customHeight="1" x14ac:dyDescent="0.2"/>
    <row r="919" s="48" customFormat="1" ht="15.75" customHeight="1" x14ac:dyDescent="0.2"/>
    <row r="920" s="48" customFormat="1" ht="15.75" customHeight="1" x14ac:dyDescent="0.2"/>
    <row r="921" s="48" customFormat="1" ht="15.75" customHeight="1" x14ac:dyDescent="0.2"/>
    <row r="922" s="48" customFormat="1" ht="15.75" customHeight="1" x14ac:dyDescent="0.2"/>
    <row r="923" s="48" customFormat="1" ht="15.75" customHeight="1" x14ac:dyDescent="0.2"/>
    <row r="924" s="48" customFormat="1" ht="15.75" customHeight="1" x14ac:dyDescent="0.2"/>
    <row r="925" s="48" customFormat="1" ht="15.75" customHeight="1" x14ac:dyDescent="0.2"/>
    <row r="926" s="48" customFormat="1" ht="15.75" customHeight="1" x14ac:dyDescent="0.2"/>
    <row r="927" s="48" customFormat="1" ht="15.75" customHeight="1" x14ac:dyDescent="0.2"/>
    <row r="928" s="48" customFormat="1" ht="15.75" customHeight="1" x14ac:dyDescent="0.2"/>
    <row r="929" s="48" customFormat="1" ht="15.75" customHeight="1" x14ac:dyDescent="0.2"/>
    <row r="930" s="48" customFormat="1" ht="15.75" customHeight="1" x14ac:dyDescent="0.2"/>
    <row r="931" s="48" customFormat="1" ht="15.75" customHeight="1" x14ac:dyDescent="0.2"/>
    <row r="932" s="48" customFormat="1" ht="15.75" customHeight="1" x14ac:dyDescent="0.2"/>
    <row r="933" s="48" customFormat="1" ht="15.75" customHeight="1" x14ac:dyDescent="0.2"/>
    <row r="934" s="48" customFormat="1" ht="15.75" customHeight="1" x14ac:dyDescent="0.2"/>
    <row r="935" s="48" customFormat="1" ht="15.75" customHeight="1" x14ac:dyDescent="0.2"/>
    <row r="936" s="48" customFormat="1" ht="15.75" customHeight="1" x14ac:dyDescent="0.2"/>
    <row r="937" s="48" customFormat="1" ht="15.75" customHeight="1" x14ac:dyDescent="0.2"/>
    <row r="938" s="48" customFormat="1" ht="15.75" customHeight="1" x14ac:dyDescent="0.2"/>
    <row r="939" s="48" customFormat="1" ht="15.75" customHeight="1" x14ac:dyDescent="0.2"/>
    <row r="940" s="48" customFormat="1" ht="15.75" customHeight="1" x14ac:dyDescent="0.2"/>
    <row r="941" s="48" customFormat="1" ht="15.75" customHeight="1" x14ac:dyDescent="0.2"/>
    <row r="942" s="48" customFormat="1" ht="15.75" customHeight="1" x14ac:dyDescent="0.2"/>
    <row r="943" s="48" customFormat="1" ht="15.75" customHeight="1" x14ac:dyDescent="0.2"/>
    <row r="944" s="48" customFormat="1" ht="15.75" customHeight="1" x14ac:dyDescent="0.2"/>
    <row r="945" s="48" customFormat="1" ht="15.75" customHeight="1" x14ac:dyDescent="0.2"/>
    <row r="946" s="48" customFormat="1" ht="15.75" customHeight="1" x14ac:dyDescent="0.2"/>
    <row r="947" s="48" customFormat="1" ht="15.75" customHeight="1" x14ac:dyDescent="0.2"/>
    <row r="948" s="48" customFormat="1" ht="15.75" customHeight="1" x14ac:dyDescent="0.2"/>
    <row r="949" s="48" customFormat="1" ht="15.75" customHeight="1" x14ac:dyDescent="0.2"/>
    <row r="950" s="48" customFormat="1" ht="15.75" customHeight="1" x14ac:dyDescent="0.2"/>
    <row r="951" s="48" customFormat="1" ht="15.75" customHeight="1" x14ac:dyDescent="0.2"/>
    <row r="952" s="48" customFormat="1" ht="15.75" customHeight="1" x14ac:dyDescent="0.2"/>
    <row r="953" s="48" customFormat="1" ht="15.75" customHeight="1" x14ac:dyDescent="0.2"/>
    <row r="954" s="48" customFormat="1" ht="15.75" customHeight="1" x14ac:dyDescent="0.2"/>
    <row r="955" s="48" customFormat="1" ht="15.75" customHeight="1" x14ac:dyDescent="0.2"/>
    <row r="956" s="48" customFormat="1" ht="15.75" customHeight="1" x14ac:dyDescent="0.2"/>
    <row r="957" s="48" customFormat="1" ht="15.75" customHeight="1" x14ac:dyDescent="0.2"/>
    <row r="958" s="48" customFormat="1" ht="15.75" customHeight="1" x14ac:dyDescent="0.2"/>
    <row r="959" s="48" customFormat="1" ht="15.75" customHeight="1" x14ac:dyDescent="0.2"/>
    <row r="960" s="48" customFormat="1" ht="15.75" customHeight="1" x14ac:dyDescent="0.2"/>
    <row r="961" s="48" customFormat="1" ht="15.75" customHeight="1" x14ac:dyDescent="0.2"/>
    <row r="962" s="48" customFormat="1" ht="15.75" customHeight="1" x14ac:dyDescent="0.2"/>
    <row r="963" s="48" customFormat="1" ht="15.75" customHeight="1" x14ac:dyDescent="0.2"/>
    <row r="964" s="48" customFormat="1" ht="15.75" customHeight="1" x14ac:dyDescent="0.2"/>
    <row r="965" s="48" customFormat="1" ht="15.75" customHeight="1" x14ac:dyDescent="0.2"/>
    <row r="966" s="48" customFormat="1" ht="15.75" customHeight="1" x14ac:dyDescent="0.2"/>
    <row r="967" s="48" customFormat="1" ht="15.75" customHeight="1" x14ac:dyDescent="0.2"/>
    <row r="968" s="48" customFormat="1" ht="15.75" customHeight="1" x14ac:dyDescent="0.2"/>
    <row r="969" s="48" customFormat="1" ht="15.75" customHeight="1" x14ac:dyDescent="0.2"/>
    <row r="970" s="48" customFormat="1" ht="15.75" customHeight="1" x14ac:dyDescent="0.2"/>
    <row r="971" s="48" customFormat="1" ht="15.75" customHeight="1" x14ac:dyDescent="0.2"/>
    <row r="972" s="48" customFormat="1" ht="15.75" customHeight="1" x14ac:dyDescent="0.2"/>
    <row r="973" s="48" customFormat="1" ht="15.75" customHeight="1" x14ac:dyDescent="0.2"/>
    <row r="974" s="48" customFormat="1" ht="15.75" customHeight="1" x14ac:dyDescent="0.2"/>
    <row r="975" s="48" customFormat="1" ht="15.75" customHeight="1" x14ac:dyDescent="0.2"/>
    <row r="976" s="48" customFormat="1" ht="15.75" customHeight="1" x14ac:dyDescent="0.2"/>
    <row r="977" s="48" customFormat="1" ht="15.75" customHeight="1" x14ac:dyDescent="0.2"/>
    <row r="978" s="48" customFormat="1" ht="15.75" customHeight="1" x14ac:dyDescent="0.2"/>
    <row r="979" s="48" customFormat="1" ht="15.75" customHeight="1" x14ac:dyDescent="0.2"/>
    <row r="980" s="48" customFormat="1" ht="15.75" customHeight="1" x14ac:dyDescent="0.2"/>
    <row r="981" s="48" customFormat="1" ht="15.75" customHeight="1" x14ac:dyDescent="0.2"/>
    <row r="982" s="48" customFormat="1" ht="15.75" customHeight="1" x14ac:dyDescent="0.2"/>
    <row r="983" s="48" customFormat="1" ht="15.75" customHeight="1" x14ac:dyDescent="0.2"/>
    <row r="984" s="48" customFormat="1" ht="15.75" customHeight="1" x14ac:dyDescent="0.2"/>
    <row r="985" s="48" customFormat="1" ht="15.75" customHeight="1" x14ac:dyDescent="0.2"/>
    <row r="986" s="48" customFormat="1" ht="15.75" customHeight="1" x14ac:dyDescent="0.2"/>
    <row r="987" s="48" customFormat="1" ht="15.75" customHeight="1" x14ac:dyDescent="0.2"/>
    <row r="988" s="48" customFormat="1" ht="15.75" customHeight="1" x14ac:dyDescent="0.2"/>
    <row r="989" s="48" customFormat="1" ht="15.75" customHeight="1" x14ac:dyDescent="0.2"/>
    <row r="990" s="48" customFormat="1" ht="15.75" customHeight="1" x14ac:dyDescent="0.2"/>
    <row r="991" s="48" customFormat="1" ht="15.75" customHeight="1" x14ac:dyDescent="0.2"/>
    <row r="992" s="48" customFormat="1" ht="15.75" customHeight="1" x14ac:dyDescent="0.2"/>
    <row r="993" s="48" customFormat="1" ht="15.75" customHeight="1" x14ac:dyDescent="0.2"/>
    <row r="994" s="48" customFormat="1" ht="15.75" customHeight="1" x14ac:dyDescent="0.2"/>
    <row r="995" s="48" customFormat="1" ht="15.75" customHeight="1" x14ac:dyDescent="0.2"/>
    <row r="996" s="48" customFormat="1" ht="15.75" customHeight="1" x14ac:dyDescent="0.2"/>
    <row r="997" s="48" customFormat="1" ht="15.75" customHeight="1" x14ac:dyDescent="0.2"/>
    <row r="998" s="48" customFormat="1" ht="15.75" customHeight="1" x14ac:dyDescent="0.2"/>
    <row r="999" s="48" customFormat="1" ht="15.75" customHeight="1" x14ac:dyDescent="0.2"/>
    <row r="1000" s="48" customFormat="1" ht="15.75" customHeight="1" x14ac:dyDescent="0.2"/>
  </sheetData>
  <mergeCells count="5">
    <mergeCell ref="A1:P1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ACF8-E38C-4727-AD36-5D7D71778605}">
  <dimension ref="B3:Q23"/>
  <sheetViews>
    <sheetView workbookViewId="0">
      <selection activeCell="E28" sqref="E28"/>
    </sheetView>
  </sheetViews>
  <sheetFormatPr baseColWidth="10" defaultColWidth="14.42578125" defaultRowHeight="15" customHeight="1" x14ac:dyDescent="0.2"/>
  <cols>
    <col min="1" max="1" width="14.42578125" style="48"/>
    <col min="2" max="2" width="18.5703125" style="48" customWidth="1"/>
    <col min="3" max="16384" width="14.42578125" style="48"/>
  </cols>
  <sheetData>
    <row r="3" spans="2:17" x14ac:dyDescent="0.25">
      <c r="B3" s="107" t="s">
        <v>84</v>
      </c>
      <c r="C3" s="108">
        <v>1</v>
      </c>
      <c r="D3" s="52"/>
      <c r="E3" s="109">
        <v>2</v>
      </c>
      <c r="F3" s="52"/>
      <c r="G3" s="108">
        <v>3</v>
      </c>
      <c r="H3" s="52"/>
      <c r="I3" s="108">
        <v>4</v>
      </c>
      <c r="J3" s="52"/>
      <c r="K3" s="108">
        <v>5</v>
      </c>
      <c r="L3" s="52"/>
      <c r="M3" s="108">
        <v>6</v>
      </c>
      <c r="N3" s="52"/>
    </row>
    <row r="4" spans="2:17" x14ac:dyDescent="0.25">
      <c r="B4" s="107" t="s">
        <v>108</v>
      </c>
      <c r="C4" s="110">
        <f t="shared" ref="C4:D4" si="0">373.15-273.15</f>
        <v>100</v>
      </c>
      <c r="D4" s="110">
        <f t="shared" si="0"/>
        <v>100</v>
      </c>
      <c r="E4" s="111">
        <f>385.15-273.15</f>
        <v>112</v>
      </c>
      <c r="F4" s="110">
        <v>380</v>
      </c>
      <c r="G4" s="110">
        <f>773.15-273.15</f>
        <v>500</v>
      </c>
      <c r="H4" s="110">
        <f>305-273.15</f>
        <v>31.850000000000023</v>
      </c>
      <c r="I4" s="110">
        <f t="shared" ref="I4:J4" si="1">357.86-273.15</f>
        <v>84.710000000000036</v>
      </c>
      <c r="J4" s="110">
        <f t="shared" si="1"/>
        <v>84.710000000000036</v>
      </c>
      <c r="K4" s="110">
        <f t="shared" ref="K4:L4" si="2">413.01-273.15</f>
        <v>139.86000000000001</v>
      </c>
      <c r="L4" s="110">
        <f t="shared" si="2"/>
        <v>139.86000000000001</v>
      </c>
      <c r="M4" s="110">
        <f t="shared" ref="M4:N4" si="3">246.95-273.15</f>
        <v>-26.199999999999989</v>
      </c>
      <c r="N4" s="110">
        <f t="shared" si="3"/>
        <v>-26.199999999999989</v>
      </c>
    </row>
    <row r="5" spans="2:17" x14ac:dyDescent="0.25">
      <c r="B5" s="107" t="s">
        <v>86</v>
      </c>
      <c r="C5" s="112">
        <v>26</v>
      </c>
      <c r="D5" s="112">
        <v>26</v>
      </c>
      <c r="E5" s="113">
        <v>26</v>
      </c>
      <c r="F5" s="112">
        <v>26</v>
      </c>
      <c r="G5" s="112">
        <v>26</v>
      </c>
      <c r="H5" s="112">
        <v>12</v>
      </c>
      <c r="I5" s="112">
        <v>12</v>
      </c>
      <c r="J5" s="112">
        <v>12</v>
      </c>
      <c r="K5" s="112">
        <v>4.8</v>
      </c>
      <c r="L5" s="112">
        <v>4.8</v>
      </c>
      <c r="M5" s="112">
        <v>12</v>
      </c>
      <c r="N5" s="112">
        <v>12</v>
      </c>
    </row>
    <row r="6" spans="2:17" ht="45" x14ac:dyDescent="0.25">
      <c r="B6" s="114" t="s">
        <v>109</v>
      </c>
      <c r="C6" s="115" t="s">
        <v>110</v>
      </c>
      <c r="D6" s="116"/>
      <c r="E6" s="117" t="s">
        <v>110</v>
      </c>
      <c r="F6" s="117" t="s">
        <v>111</v>
      </c>
      <c r="G6" s="117" t="s">
        <v>111</v>
      </c>
      <c r="H6" s="117" t="s">
        <v>112</v>
      </c>
      <c r="I6" s="115" t="s">
        <v>110</v>
      </c>
      <c r="J6" s="116"/>
      <c r="K6" s="115" t="s">
        <v>113</v>
      </c>
      <c r="L6" s="116"/>
      <c r="M6" s="115" t="s">
        <v>111</v>
      </c>
      <c r="N6" s="116"/>
    </row>
    <row r="7" spans="2:17" x14ac:dyDescent="0.25">
      <c r="B7" s="107" t="s">
        <v>87</v>
      </c>
      <c r="C7" s="118" t="s">
        <v>88</v>
      </c>
      <c r="D7" s="119" t="s">
        <v>89</v>
      </c>
      <c r="E7" s="120" t="s">
        <v>88</v>
      </c>
      <c r="F7" s="121" t="s">
        <v>89</v>
      </c>
      <c r="G7" s="118" t="s">
        <v>88</v>
      </c>
      <c r="H7" s="121" t="s">
        <v>89</v>
      </c>
      <c r="I7" s="118" t="s">
        <v>88</v>
      </c>
      <c r="J7" s="121" t="s">
        <v>89</v>
      </c>
      <c r="K7" s="118" t="s">
        <v>88</v>
      </c>
      <c r="L7" s="121" t="s">
        <v>89</v>
      </c>
      <c r="M7" s="118" t="s">
        <v>88</v>
      </c>
      <c r="N7" s="121" t="s">
        <v>89</v>
      </c>
      <c r="P7" s="62"/>
    </row>
    <row r="8" spans="2:17" x14ac:dyDescent="0.25">
      <c r="B8" s="107" t="s">
        <v>52</v>
      </c>
      <c r="C8" s="120">
        <v>333.70521728805414</v>
      </c>
      <c r="D8" s="122">
        <v>33023.13459760855</v>
      </c>
      <c r="E8" s="120">
        <v>521.41438572431059</v>
      </c>
      <c r="F8" s="123">
        <v>51598.646196892063</v>
      </c>
      <c r="G8" s="120">
        <v>208.56575428972425</v>
      </c>
      <c r="H8" s="123">
        <v>20639.458478756824</v>
      </c>
      <c r="I8" s="120">
        <v>208.56575428972425</v>
      </c>
      <c r="J8" s="123">
        <v>20639.458478756824</v>
      </c>
      <c r="K8" s="120">
        <v>208.56575428972425</v>
      </c>
      <c r="L8" s="123">
        <v>20639.458478756824</v>
      </c>
      <c r="M8" s="124">
        <v>0</v>
      </c>
      <c r="N8" s="125">
        <v>0</v>
      </c>
    </row>
    <row r="9" spans="2:17" x14ac:dyDescent="0.25">
      <c r="B9" s="107" t="s">
        <v>53</v>
      </c>
      <c r="C9" s="124">
        <v>0</v>
      </c>
      <c r="D9" s="126">
        <v>0</v>
      </c>
      <c r="E9" s="120">
        <v>0.28840306539060301</v>
      </c>
      <c r="F9" s="123">
        <v>10.515175764141388</v>
      </c>
      <c r="G9" s="120">
        <v>303.69484895655853</v>
      </c>
      <c r="H9" s="123">
        <v>11072.714192956124</v>
      </c>
      <c r="I9" s="120">
        <v>0.32044785030049117</v>
      </c>
      <c r="J9" s="123">
        <v>11.68352862195591</v>
      </c>
      <c r="K9" s="120">
        <v>0.32044785030049117</v>
      </c>
      <c r="L9" s="123">
        <v>11.68352862195591</v>
      </c>
      <c r="M9" s="120">
        <v>303.37440110625801</v>
      </c>
      <c r="N9" s="123">
        <v>11061.030664334166</v>
      </c>
    </row>
    <row r="10" spans="2:17" x14ac:dyDescent="0.25">
      <c r="B10" s="107" t="s">
        <v>54</v>
      </c>
      <c r="C10" s="124">
        <v>0</v>
      </c>
      <c r="D10" s="126">
        <v>0</v>
      </c>
      <c r="E10" s="120">
        <v>1.8908866793633254</v>
      </c>
      <c r="F10" s="123">
        <v>118.1766356868491</v>
      </c>
      <c r="G10" s="120">
        <v>305.29733257053124</v>
      </c>
      <c r="H10" s="123">
        <v>19080.472690993065</v>
      </c>
      <c r="I10" s="120">
        <v>305.29733257053124</v>
      </c>
      <c r="J10" s="123">
        <v>19080.472690993065</v>
      </c>
      <c r="K10" s="120">
        <v>2.100985200662302</v>
      </c>
      <c r="L10" s="123">
        <v>131.30737307099253</v>
      </c>
      <c r="M10" s="124">
        <v>0</v>
      </c>
      <c r="N10" s="125">
        <v>0</v>
      </c>
    </row>
    <row r="11" spans="2:17" x14ac:dyDescent="0.25">
      <c r="B11" s="107" t="s">
        <v>55</v>
      </c>
      <c r="C11" s="127">
        <v>0</v>
      </c>
      <c r="D11" s="128">
        <v>0</v>
      </c>
      <c r="E11" s="129">
        <v>0.44088302369170368</v>
      </c>
      <c r="F11" s="130">
        <v>43.629343141507306</v>
      </c>
      <c r="G11" s="129">
        <v>9.8830685671101968</v>
      </c>
      <c r="H11" s="130">
        <v>978.01858233265807</v>
      </c>
      <c r="I11" s="129">
        <v>9.8830685671101968</v>
      </c>
      <c r="J11" s="130">
        <v>978.01858233265807</v>
      </c>
      <c r="K11" s="129">
        <v>9.8830685671101968</v>
      </c>
      <c r="L11" s="130">
        <v>978.01858233265807</v>
      </c>
      <c r="M11" s="127">
        <v>0</v>
      </c>
      <c r="N11" s="131">
        <v>0</v>
      </c>
      <c r="P11" s="90"/>
    </row>
    <row r="12" spans="2:17" x14ac:dyDescent="0.25">
      <c r="B12" s="132" t="s">
        <v>90</v>
      </c>
      <c r="C12" s="133">
        <v>333.70521728805414</v>
      </c>
      <c r="D12" s="134">
        <v>33023.13459760855</v>
      </c>
      <c r="E12" s="133">
        <v>524.03455849275633</v>
      </c>
      <c r="F12" s="135">
        <v>51770.967351484564</v>
      </c>
      <c r="G12" s="133">
        <v>827.44100438392422</v>
      </c>
      <c r="H12" s="135">
        <v>51770.663945038672</v>
      </c>
      <c r="I12" s="133">
        <v>524.0666032776661</v>
      </c>
      <c r="J12" s="135">
        <v>40709.633280704511</v>
      </c>
      <c r="K12" s="133">
        <v>220.87025590779726</v>
      </c>
      <c r="L12" s="135">
        <v>21760.46796278243</v>
      </c>
      <c r="M12" s="133">
        <v>303.37440110625801</v>
      </c>
      <c r="N12" s="135">
        <v>11061.030664334166</v>
      </c>
    </row>
    <row r="13" spans="2:17" x14ac:dyDescent="0.25">
      <c r="B13" s="136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136"/>
      <c r="N13" s="45"/>
    </row>
    <row r="14" spans="2:17" x14ac:dyDescent="0.25">
      <c r="B14" s="107" t="s">
        <v>84</v>
      </c>
      <c r="C14" s="108">
        <v>7</v>
      </c>
      <c r="D14" s="52"/>
      <c r="E14" s="108">
        <v>8</v>
      </c>
      <c r="F14" s="52"/>
      <c r="G14" s="108">
        <v>9</v>
      </c>
      <c r="H14" s="52"/>
      <c r="I14" s="108">
        <v>10</v>
      </c>
      <c r="J14" s="52"/>
      <c r="K14" s="108">
        <v>11</v>
      </c>
      <c r="L14" s="52"/>
      <c r="M14" s="45"/>
      <c r="N14" s="45"/>
      <c r="P14" s="90"/>
      <c r="Q14" s="90"/>
    </row>
    <row r="15" spans="2:17" x14ac:dyDescent="0.25">
      <c r="B15" s="107" t="s">
        <v>108</v>
      </c>
      <c r="C15" s="110">
        <f t="shared" ref="C15:D15" si="4">305.19-273.15</f>
        <v>32.04000000000002</v>
      </c>
      <c r="D15" s="110">
        <f t="shared" si="4"/>
        <v>32.04000000000002</v>
      </c>
      <c r="E15" s="110">
        <f t="shared" ref="E15:F15" si="5">344.35-273.15</f>
        <v>71.200000000000045</v>
      </c>
      <c r="F15" s="110">
        <f t="shared" si="5"/>
        <v>71.200000000000045</v>
      </c>
      <c r="G15" s="110">
        <f t="shared" ref="G15:J15" si="6">416.64-273.15</f>
        <v>143.49</v>
      </c>
      <c r="H15" s="110">
        <f t="shared" si="6"/>
        <v>143.49</v>
      </c>
      <c r="I15" s="110">
        <f t="shared" si="6"/>
        <v>143.49</v>
      </c>
      <c r="J15" s="110">
        <f t="shared" si="6"/>
        <v>143.49</v>
      </c>
      <c r="K15" s="110">
        <f t="shared" ref="K15:L15" si="7">419.15-273.15</f>
        <v>146</v>
      </c>
      <c r="L15" s="110">
        <f t="shared" si="7"/>
        <v>146</v>
      </c>
      <c r="M15" s="45"/>
      <c r="N15" s="45"/>
      <c r="O15" s="90"/>
    </row>
    <row r="16" spans="2:17" x14ac:dyDescent="0.25">
      <c r="B16" s="107" t="s">
        <v>86</v>
      </c>
      <c r="C16" s="112">
        <v>4.8</v>
      </c>
      <c r="D16" s="112">
        <v>4.8</v>
      </c>
      <c r="E16" s="112">
        <v>4.8</v>
      </c>
      <c r="F16" s="112">
        <v>4.8</v>
      </c>
      <c r="G16" s="112">
        <v>4.8</v>
      </c>
      <c r="H16" s="112">
        <v>4.8</v>
      </c>
      <c r="I16" s="112">
        <v>4.8</v>
      </c>
      <c r="J16" s="112">
        <v>4.8</v>
      </c>
      <c r="K16" s="112">
        <v>4.8</v>
      </c>
      <c r="L16" s="112">
        <v>4.8</v>
      </c>
      <c r="M16" s="45"/>
      <c r="N16" s="45"/>
    </row>
    <row r="17" spans="2:17" ht="45" x14ac:dyDescent="0.25">
      <c r="B17" s="114" t="s">
        <v>109</v>
      </c>
      <c r="C17" s="115" t="s">
        <v>111</v>
      </c>
      <c r="D17" s="116"/>
      <c r="E17" s="115" t="s">
        <v>110</v>
      </c>
      <c r="F17" s="116"/>
      <c r="G17" s="115" t="s">
        <v>111</v>
      </c>
      <c r="H17" s="116"/>
      <c r="I17" s="115" t="s">
        <v>111</v>
      </c>
      <c r="J17" s="116"/>
      <c r="K17" s="115" t="s">
        <v>111</v>
      </c>
      <c r="L17" s="116"/>
      <c r="M17" s="45"/>
      <c r="N17" s="45"/>
    </row>
    <row r="18" spans="2:17" x14ac:dyDescent="0.25">
      <c r="B18" s="107" t="s">
        <v>87</v>
      </c>
      <c r="C18" s="118" t="s">
        <v>88</v>
      </c>
      <c r="D18" s="121" t="s">
        <v>89</v>
      </c>
      <c r="E18" s="118" t="s">
        <v>88</v>
      </c>
      <c r="F18" s="121" t="s">
        <v>89</v>
      </c>
      <c r="G18" s="118" t="s">
        <v>88</v>
      </c>
      <c r="H18" s="121" t="s">
        <v>89</v>
      </c>
      <c r="I18" s="118" t="s">
        <v>88</v>
      </c>
      <c r="J18" s="121" t="s">
        <v>89</v>
      </c>
      <c r="K18" s="118" t="s">
        <v>88</v>
      </c>
      <c r="L18" s="121" t="s">
        <v>89</v>
      </c>
      <c r="M18" s="45"/>
      <c r="N18" s="45"/>
      <c r="P18" s="62"/>
    </row>
    <row r="19" spans="2:17" x14ac:dyDescent="0.25">
      <c r="B19" s="107" t="s">
        <v>52</v>
      </c>
      <c r="C19" s="124">
        <v>0</v>
      </c>
      <c r="D19" s="125">
        <v>0</v>
      </c>
      <c r="E19" s="124">
        <v>0</v>
      </c>
      <c r="F19" s="125">
        <v>0</v>
      </c>
      <c r="G19" s="120">
        <v>208.56575428972425</v>
      </c>
      <c r="H19" s="123">
        <v>20639.458478756824</v>
      </c>
      <c r="I19" s="120">
        <v>20.856575428972427</v>
      </c>
      <c r="J19" s="123">
        <v>2063.9458478756828</v>
      </c>
      <c r="K19" s="120">
        <v>187.70917886075185</v>
      </c>
      <c r="L19" s="123">
        <v>18575.512630881141</v>
      </c>
      <c r="M19" s="45"/>
      <c r="N19" s="45"/>
      <c r="P19" s="62"/>
      <c r="Q19" s="62"/>
    </row>
    <row r="20" spans="2:17" x14ac:dyDescent="0.25">
      <c r="B20" s="107" t="s">
        <v>53</v>
      </c>
      <c r="C20" s="124">
        <v>0</v>
      </c>
      <c r="D20" s="125">
        <v>0</v>
      </c>
      <c r="E20" s="124">
        <v>0</v>
      </c>
      <c r="F20" s="125">
        <v>0</v>
      </c>
      <c r="G20" s="120">
        <v>0.32044785030049117</v>
      </c>
      <c r="H20" s="123">
        <v>11.68352862195591</v>
      </c>
      <c r="I20" s="120">
        <v>3.2044785030049122E-2</v>
      </c>
      <c r="J20" s="123">
        <v>1.1683528621955908</v>
      </c>
      <c r="K20" s="120">
        <v>0.28840306527044207</v>
      </c>
      <c r="L20" s="123">
        <v>10.515175759760316</v>
      </c>
      <c r="M20" s="45"/>
      <c r="N20" s="45"/>
    </row>
    <row r="21" spans="2:17" x14ac:dyDescent="0.25">
      <c r="B21" s="107" t="s">
        <v>54</v>
      </c>
      <c r="C21" s="120">
        <v>303.19634736986893</v>
      </c>
      <c r="D21" s="123">
        <v>18949.16531792207</v>
      </c>
      <c r="E21" s="124">
        <v>0</v>
      </c>
      <c r="F21" s="125">
        <v>0</v>
      </c>
      <c r="G21" s="120">
        <v>2.100985200662302</v>
      </c>
      <c r="H21" s="123">
        <v>131.30737307099253</v>
      </c>
      <c r="I21" s="120">
        <v>0.21009852006623017</v>
      </c>
      <c r="J21" s="123">
        <v>13.130737307099253</v>
      </c>
      <c r="K21" s="120">
        <v>1.8908866805960718</v>
      </c>
      <c r="L21" s="123">
        <v>118.1766357638933</v>
      </c>
      <c r="M21" s="45"/>
      <c r="N21" s="45"/>
    </row>
    <row r="22" spans="2:17" x14ac:dyDescent="0.25">
      <c r="B22" s="107" t="s">
        <v>55</v>
      </c>
      <c r="C22" s="124">
        <v>0</v>
      </c>
      <c r="D22" s="125">
        <v>0</v>
      </c>
      <c r="E22" s="120">
        <v>9.3931985407728202</v>
      </c>
      <c r="F22" s="123">
        <v>929.54153439633762</v>
      </c>
      <c r="G22" s="120">
        <v>0.48987002633737714</v>
      </c>
      <c r="H22" s="123">
        <v>48.47704793632051</v>
      </c>
      <c r="I22" s="120">
        <v>4.8987002633737724E-2</v>
      </c>
      <c r="J22" s="123">
        <v>4.847704793632051</v>
      </c>
      <c r="K22" s="120">
        <v>0.44088302370363947</v>
      </c>
      <c r="L22" s="123">
        <v>43.629343142688455</v>
      </c>
      <c r="M22" s="45"/>
      <c r="N22" s="45"/>
    </row>
    <row r="23" spans="2:17" x14ac:dyDescent="0.25">
      <c r="B23" s="107" t="s">
        <v>90</v>
      </c>
      <c r="C23" s="133">
        <v>303.19634736986893</v>
      </c>
      <c r="D23" s="135">
        <v>18949.16531792207</v>
      </c>
      <c r="E23" s="133">
        <v>9.3931985407728202</v>
      </c>
      <c r="F23" s="135">
        <v>929.54153439633762</v>
      </c>
      <c r="G23" s="133">
        <v>211.47705736702443</v>
      </c>
      <c r="H23" s="135">
        <v>20830.926428386094</v>
      </c>
      <c r="I23" s="133">
        <v>21.147705736702441</v>
      </c>
      <c r="J23" s="135">
        <v>2083.0926428386101</v>
      </c>
      <c r="K23" s="133">
        <v>190.32935163032201</v>
      </c>
      <c r="L23" s="135">
        <v>18747.833785547482</v>
      </c>
      <c r="M23" s="45"/>
      <c r="N23" s="45"/>
    </row>
  </sheetData>
  <mergeCells count="22">
    <mergeCell ref="K14:L14"/>
    <mergeCell ref="C17:D17"/>
    <mergeCell ref="E17:F17"/>
    <mergeCell ref="G17:H17"/>
    <mergeCell ref="I17:J17"/>
    <mergeCell ref="K17:L17"/>
    <mergeCell ref="C6:D6"/>
    <mergeCell ref="I6:J6"/>
    <mergeCell ref="K6:L6"/>
    <mergeCell ref="M6:N6"/>
    <mergeCell ref="B13:L13"/>
    <mergeCell ref="M13:N23"/>
    <mergeCell ref="C14:D14"/>
    <mergeCell ref="E14:F14"/>
    <mergeCell ref="G14:H14"/>
    <mergeCell ref="I14:J14"/>
    <mergeCell ref="C3:D3"/>
    <mergeCell ref="E3:F3"/>
    <mergeCell ref="G3:H3"/>
    <mergeCell ref="I3:J3"/>
    <mergeCell ref="K3:L3"/>
    <mergeCell ref="M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258"/>
  <sheetViews>
    <sheetView workbookViewId="0">
      <selection sqref="A1:D1"/>
    </sheetView>
  </sheetViews>
  <sheetFormatPr baseColWidth="10" defaultColWidth="12.5703125" defaultRowHeight="15.75" customHeight="1" x14ac:dyDescent="0.2"/>
  <sheetData>
    <row r="1" spans="1:19" ht="15" x14ac:dyDescent="0.25">
      <c r="A1" s="39" t="s">
        <v>0</v>
      </c>
      <c r="B1" s="40"/>
      <c r="C1" s="40"/>
      <c r="D1" s="41"/>
      <c r="E1" s="39" t="s">
        <v>1</v>
      </c>
      <c r="F1" s="40"/>
      <c r="G1" s="40"/>
      <c r="H1" s="41"/>
      <c r="I1" s="39" t="s">
        <v>2</v>
      </c>
      <c r="J1" s="40"/>
      <c r="K1" s="40"/>
      <c r="L1" s="41"/>
      <c r="M1" s="1"/>
      <c r="N1" s="1" t="s">
        <v>3</v>
      </c>
      <c r="O1" s="2">
        <v>2600000</v>
      </c>
      <c r="P1" s="1"/>
      <c r="Q1" s="1"/>
      <c r="R1" s="1"/>
      <c r="S1" s="1"/>
    </row>
    <row r="2" spans="1:19" ht="15" x14ac:dyDescent="0.25">
      <c r="A2" s="3" t="s">
        <v>4</v>
      </c>
      <c r="B2" s="4">
        <v>98.96</v>
      </c>
      <c r="C2" s="5" t="s">
        <v>5</v>
      </c>
      <c r="D2" s="6"/>
      <c r="E2" s="3" t="s">
        <v>6</v>
      </c>
      <c r="F2" s="4">
        <v>62.5</v>
      </c>
      <c r="G2" s="5" t="s">
        <v>5</v>
      </c>
      <c r="H2" s="6"/>
      <c r="I2" s="3" t="s">
        <v>7</v>
      </c>
      <c r="J2" s="4">
        <v>36.46</v>
      </c>
      <c r="K2" s="5" t="s">
        <v>5</v>
      </c>
      <c r="L2" s="6"/>
      <c r="M2" s="1"/>
      <c r="N2" s="1" t="s">
        <v>8</v>
      </c>
      <c r="O2" s="2">
        <v>70900</v>
      </c>
      <c r="P2" s="1" t="s">
        <v>9</v>
      </c>
      <c r="Q2" s="1"/>
      <c r="R2" s="1"/>
      <c r="S2" s="1"/>
    </row>
    <row r="3" spans="1:19" ht="15" x14ac:dyDescent="0.25">
      <c r="A3" s="3" t="s">
        <v>10</v>
      </c>
      <c r="B3" s="4">
        <v>561.20000000000005</v>
      </c>
      <c r="C3" s="5" t="s">
        <v>11</v>
      </c>
      <c r="D3" s="7">
        <v>5370000</v>
      </c>
      <c r="E3" s="3" t="s">
        <v>10</v>
      </c>
      <c r="F3" s="4">
        <v>429.7</v>
      </c>
      <c r="G3" s="5" t="s">
        <v>11</v>
      </c>
      <c r="H3" s="7">
        <v>5600000</v>
      </c>
      <c r="I3" s="3" t="s">
        <v>10</v>
      </c>
      <c r="J3" s="4">
        <v>324.60000000000002</v>
      </c>
      <c r="K3" s="5" t="s">
        <v>11</v>
      </c>
      <c r="L3" s="7">
        <v>8310000</v>
      </c>
      <c r="M3" s="1"/>
      <c r="N3" s="1" t="s">
        <v>12</v>
      </c>
      <c r="O3" s="2">
        <v>653.15</v>
      </c>
      <c r="P3" s="2"/>
      <c r="Q3" s="1"/>
      <c r="R3" s="1"/>
      <c r="S3" s="2"/>
    </row>
    <row r="4" spans="1:19" ht="15" x14ac:dyDescent="0.25">
      <c r="A4" s="3" t="s">
        <v>13</v>
      </c>
      <c r="B4" s="4">
        <v>0.27800000000000002</v>
      </c>
      <c r="C4" s="1"/>
      <c r="D4" s="6"/>
      <c r="E4" s="8"/>
      <c r="F4" s="1"/>
      <c r="G4" s="1"/>
      <c r="H4" s="6"/>
      <c r="I4" s="8"/>
      <c r="J4" s="1"/>
      <c r="K4" s="1"/>
      <c r="L4" s="6"/>
      <c r="M4" s="1"/>
      <c r="N4" s="1" t="s">
        <v>14</v>
      </c>
      <c r="O4" s="2">
        <v>773.15</v>
      </c>
      <c r="P4" s="1"/>
      <c r="Q4" s="1"/>
      <c r="R4" s="1"/>
      <c r="S4" s="1"/>
    </row>
    <row r="5" spans="1:19" ht="15" x14ac:dyDescent="0.25">
      <c r="A5" s="3" t="s">
        <v>15</v>
      </c>
      <c r="B5" s="1"/>
      <c r="C5" s="4">
        <f>31.83*4.18</f>
        <v>133.04939999999999</v>
      </c>
      <c r="D5" s="9" t="s">
        <v>16</v>
      </c>
      <c r="E5" s="3" t="s">
        <v>17</v>
      </c>
      <c r="F5" s="1"/>
      <c r="G5" s="4">
        <f>(19.4+22.45)/2*4.18</f>
        <v>87.466499999999982</v>
      </c>
      <c r="H5" s="9" t="s">
        <v>16</v>
      </c>
      <c r="I5" s="3" t="s">
        <v>18</v>
      </c>
      <c r="J5" s="1"/>
      <c r="K5" s="4">
        <f>(7.43+7.4)/2*4.18</f>
        <v>30.994699999999998</v>
      </c>
      <c r="L5" s="9" t="s">
        <v>16</v>
      </c>
      <c r="M5" s="1"/>
      <c r="N5" s="1" t="s">
        <v>19</v>
      </c>
      <c r="O5" s="2">
        <v>5.0000000000000001E-3</v>
      </c>
      <c r="P5" s="1"/>
      <c r="Q5" s="1"/>
      <c r="R5" s="1"/>
      <c r="S5" s="1"/>
    </row>
    <row r="6" spans="1:19" ht="15" x14ac:dyDescent="0.25">
      <c r="A6" s="10" t="s">
        <v>20</v>
      </c>
      <c r="B6" s="11">
        <f>-216.67*1000</f>
        <v>-216670</v>
      </c>
      <c r="C6" s="12" t="s">
        <v>9</v>
      </c>
      <c r="D6" s="13"/>
      <c r="E6" s="10" t="s">
        <v>21</v>
      </c>
      <c r="F6" s="11">
        <f>-61.09*1000</f>
        <v>-61090</v>
      </c>
      <c r="G6" s="12" t="s">
        <v>9</v>
      </c>
      <c r="H6" s="13"/>
      <c r="I6" s="10" t="s">
        <v>22</v>
      </c>
      <c r="J6" s="11">
        <f>-74.81*1000</f>
        <v>-74810</v>
      </c>
      <c r="K6" s="12" t="s">
        <v>9</v>
      </c>
      <c r="L6" s="13"/>
      <c r="M6" s="1"/>
      <c r="N6" s="1"/>
      <c r="O6" s="1"/>
      <c r="P6" s="1"/>
      <c r="S6" s="1"/>
    </row>
    <row r="7" spans="1:19" ht="15" x14ac:dyDescent="0.25">
      <c r="A7" s="14" t="s">
        <v>23</v>
      </c>
      <c r="B7" s="15">
        <v>145</v>
      </c>
      <c r="C7" s="16" t="s">
        <v>24</v>
      </c>
      <c r="D7" s="17"/>
      <c r="E7" s="18"/>
      <c r="F7" s="19"/>
      <c r="G7" s="19"/>
      <c r="H7" s="17"/>
      <c r="I7" s="18"/>
      <c r="J7" s="19"/>
      <c r="K7" s="19"/>
      <c r="L7" s="17"/>
      <c r="M7" s="1"/>
      <c r="N7" s="1"/>
      <c r="O7" s="1"/>
      <c r="P7" s="1"/>
      <c r="S7" s="1"/>
    </row>
    <row r="8" spans="1:19" ht="1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S8" s="1"/>
    </row>
    <row r="9" spans="1:19" ht="15" x14ac:dyDescent="0.25">
      <c r="A9" s="1"/>
      <c r="B9" s="1"/>
      <c r="C9" s="42" t="s">
        <v>25</v>
      </c>
      <c r="D9" s="43"/>
      <c r="E9" s="43"/>
      <c r="F9" s="43"/>
      <c r="G9" s="43"/>
      <c r="H9" s="1" t="s">
        <v>26</v>
      </c>
      <c r="I9" s="1"/>
      <c r="J9" s="1"/>
      <c r="K9" s="1"/>
      <c r="L9" s="42" t="s">
        <v>27</v>
      </c>
      <c r="M9" s="43"/>
      <c r="N9" s="1"/>
      <c r="O9" s="1"/>
    </row>
    <row r="10" spans="1:19" ht="15" x14ac:dyDescent="0.25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32</v>
      </c>
      <c r="F10" s="1" t="s">
        <v>33</v>
      </c>
      <c r="G10" s="1" t="s">
        <v>34</v>
      </c>
      <c r="H10" s="1" t="s">
        <v>35</v>
      </c>
      <c r="I10" s="1" t="s">
        <v>36</v>
      </c>
      <c r="J10" s="1" t="s">
        <v>37</v>
      </c>
      <c r="K10" s="1" t="s">
        <v>38</v>
      </c>
      <c r="L10" s="1" t="s">
        <v>37</v>
      </c>
      <c r="M10" s="1" t="s">
        <v>38</v>
      </c>
      <c r="N10" s="1"/>
      <c r="O10" s="1"/>
    </row>
    <row r="11" spans="1:19" ht="15" x14ac:dyDescent="0.25">
      <c r="A11" s="2">
        <v>0</v>
      </c>
      <c r="B11" s="2">
        <f t="shared" ref="B11:B132" si="0">$O$3</f>
        <v>653.15</v>
      </c>
      <c r="C11" s="2">
        <f t="shared" ref="C11:C132" si="1">B11/$B$3</f>
        <v>1.1638453314326442</v>
      </c>
      <c r="D11" s="2">
        <f t="shared" ref="D11:D132" si="2">0.1445-(0.33/C11)-(0.1385/(C11^2))-(0.0121/(C11^3))-(0.000607/(C11^8))</f>
        <v>-0.24914755718456286</v>
      </c>
      <c r="E11" s="2">
        <f t="shared" ref="E11:E132" si="3">0.0637+0.331/C11^2-0.423/C11^3-0.008/C11^8</f>
        <v>3.7366747987382154E-2</v>
      </c>
      <c r="F11" s="2">
        <f t="shared" ref="F11:F132" si="4">$B$4</f>
        <v>0.27800000000000002</v>
      </c>
      <c r="G11" s="2">
        <f t="shared" ref="G11:G132" si="5">(8.314*$B$3/$D$3)*(D11+F11*E11)</f>
        <v>-2.0745038336050014E-4</v>
      </c>
      <c r="H11" s="2">
        <f t="shared" ref="H11:H132" si="6">1+G11*$O$1/(8.314*B11)</f>
        <v>0.90067361298732684</v>
      </c>
      <c r="I11" s="2">
        <f t="shared" ref="I11:I132" si="7">1.17*10^15*EXP(-53000/((2*B11)))</f>
        <v>2.8036601552034451E-3</v>
      </c>
      <c r="J11" s="2">
        <f t="shared" ref="J11:J132" si="8">$O$5*(8.314*B11*H11*$B$7*(1+A11)/(I11*$O$1*(1-A11)))</f>
        <v>0.48644044797660785</v>
      </c>
      <c r="K11" s="2">
        <f>J11</f>
        <v>0.48644044797660785</v>
      </c>
      <c r="L11" s="2">
        <f t="shared" ref="L11:L132" si="9">$O$5*(8.314*B11*$B$7*(1+A11)/(I11*$O$1*(1-A11)))</f>
        <v>0.54008515511317901</v>
      </c>
      <c r="M11" s="2">
        <f>L11</f>
        <v>0.54008515511317901</v>
      </c>
      <c r="N11" s="1"/>
      <c r="O11" s="1"/>
    </row>
    <row r="12" spans="1:19" ht="15" x14ac:dyDescent="0.25">
      <c r="A12" s="2">
        <f t="shared" ref="A12:A132" si="10">A11+$O$5</f>
        <v>5.0000000000000001E-3</v>
      </c>
      <c r="B12" s="2">
        <f t="shared" si="0"/>
        <v>653.15</v>
      </c>
      <c r="C12" s="2">
        <f t="shared" si="1"/>
        <v>1.1638453314326442</v>
      </c>
      <c r="D12" s="2">
        <f t="shared" si="2"/>
        <v>-0.24914755718456286</v>
      </c>
      <c r="E12" s="2">
        <f t="shared" si="3"/>
        <v>3.7366747987382154E-2</v>
      </c>
      <c r="F12" s="2">
        <f t="shared" si="4"/>
        <v>0.27800000000000002</v>
      </c>
      <c r="G12" s="2">
        <f t="shared" si="5"/>
        <v>-2.0745038336050014E-4</v>
      </c>
      <c r="H12" s="2">
        <f t="shared" si="6"/>
        <v>0.90067361298732684</v>
      </c>
      <c r="I12" s="2">
        <f t="shared" si="7"/>
        <v>2.8036601552034451E-3</v>
      </c>
      <c r="J12" s="2">
        <f t="shared" si="8"/>
        <v>0.49132929669999076</v>
      </c>
      <c r="K12" s="2">
        <f t="shared" ref="K12:K132" si="11">J12+K11</f>
        <v>0.97776974467659861</v>
      </c>
      <c r="L12" s="2">
        <f t="shared" si="9"/>
        <v>0.54551314662185413</v>
      </c>
      <c r="M12" s="2">
        <f t="shared" ref="M12:M132" si="12">L12+M11</f>
        <v>1.085598301735033</v>
      </c>
      <c r="N12" s="1"/>
      <c r="O12" s="1"/>
    </row>
    <row r="13" spans="1:19" ht="15" x14ac:dyDescent="0.25">
      <c r="A13" s="2">
        <f t="shared" si="10"/>
        <v>0.01</v>
      </c>
      <c r="B13" s="2">
        <f t="shared" si="0"/>
        <v>653.15</v>
      </c>
      <c r="C13" s="2">
        <f t="shared" si="1"/>
        <v>1.1638453314326442</v>
      </c>
      <c r="D13" s="2">
        <f t="shared" si="2"/>
        <v>-0.24914755718456286</v>
      </c>
      <c r="E13" s="2">
        <f t="shared" si="3"/>
        <v>3.7366747987382154E-2</v>
      </c>
      <c r="F13" s="2">
        <f t="shared" si="4"/>
        <v>0.27800000000000002</v>
      </c>
      <c r="G13" s="2">
        <f t="shared" si="5"/>
        <v>-2.0745038336050014E-4</v>
      </c>
      <c r="H13" s="2">
        <f t="shared" si="6"/>
        <v>0.90067361298732684</v>
      </c>
      <c r="I13" s="2">
        <f t="shared" si="7"/>
        <v>2.8036601552034451E-3</v>
      </c>
      <c r="J13" s="2">
        <f t="shared" si="8"/>
        <v>0.49626752773371102</v>
      </c>
      <c r="K13" s="2">
        <f t="shared" si="11"/>
        <v>1.4740372724103097</v>
      </c>
      <c r="L13" s="2">
        <f t="shared" si="9"/>
        <v>0.55099596632758674</v>
      </c>
      <c r="M13" s="2">
        <f t="shared" si="12"/>
        <v>1.6365942680626198</v>
      </c>
      <c r="N13" s="1"/>
      <c r="O13" s="1"/>
    </row>
    <row r="14" spans="1:19" ht="15" x14ac:dyDescent="0.25">
      <c r="A14" s="2">
        <f t="shared" si="10"/>
        <v>1.4999999999999999E-2</v>
      </c>
      <c r="B14" s="2">
        <f t="shared" si="0"/>
        <v>653.15</v>
      </c>
      <c r="C14" s="2">
        <f t="shared" si="1"/>
        <v>1.1638453314326442</v>
      </c>
      <c r="D14" s="2">
        <f t="shared" si="2"/>
        <v>-0.24914755718456286</v>
      </c>
      <c r="E14" s="2">
        <f t="shared" si="3"/>
        <v>3.7366747987382154E-2</v>
      </c>
      <c r="F14" s="2">
        <f t="shared" si="4"/>
        <v>0.27800000000000002</v>
      </c>
      <c r="G14" s="2">
        <f t="shared" si="5"/>
        <v>-2.0745038336050014E-4</v>
      </c>
      <c r="H14" s="2">
        <f t="shared" si="6"/>
        <v>0.90067361298732684</v>
      </c>
      <c r="I14" s="2">
        <f t="shared" si="7"/>
        <v>2.8036601552034451E-3</v>
      </c>
      <c r="J14" s="2">
        <f t="shared" si="8"/>
        <v>0.50125589309264662</v>
      </c>
      <c r="K14" s="2">
        <f t="shared" si="11"/>
        <v>1.9752931655029564</v>
      </c>
      <c r="L14" s="2">
        <f t="shared" si="9"/>
        <v>0.55653444917753969</v>
      </c>
      <c r="M14" s="2">
        <f t="shared" si="12"/>
        <v>2.1931287172401595</v>
      </c>
      <c r="N14" s="1"/>
      <c r="O14" s="1"/>
    </row>
    <row r="15" spans="1:19" ht="15" x14ac:dyDescent="0.25">
      <c r="A15" s="2">
        <f t="shared" si="10"/>
        <v>0.02</v>
      </c>
      <c r="B15" s="2">
        <f t="shared" si="0"/>
        <v>653.15</v>
      </c>
      <c r="C15" s="2">
        <f t="shared" si="1"/>
        <v>1.1638453314326442</v>
      </c>
      <c r="D15" s="2">
        <f t="shared" si="2"/>
        <v>-0.24914755718456286</v>
      </c>
      <c r="E15" s="2">
        <f t="shared" si="3"/>
        <v>3.7366747987382154E-2</v>
      </c>
      <c r="F15" s="2">
        <f t="shared" si="4"/>
        <v>0.27800000000000002</v>
      </c>
      <c r="G15" s="2">
        <f t="shared" si="5"/>
        <v>-2.0745038336050014E-4</v>
      </c>
      <c r="H15" s="2">
        <f t="shared" si="6"/>
        <v>0.90067361298732684</v>
      </c>
      <c r="I15" s="2">
        <f t="shared" si="7"/>
        <v>2.8036601552034451E-3</v>
      </c>
      <c r="J15" s="2">
        <f t="shared" si="8"/>
        <v>0.5062951601389184</v>
      </c>
      <c r="K15" s="2">
        <f t="shared" si="11"/>
        <v>2.4815883256418747</v>
      </c>
      <c r="L15" s="2">
        <f t="shared" si="9"/>
        <v>0.56212944715861501</v>
      </c>
      <c r="M15" s="2">
        <f t="shared" si="12"/>
        <v>2.7552581643987746</v>
      </c>
      <c r="N15" s="1"/>
      <c r="O15" s="1"/>
    </row>
    <row r="16" spans="1:19" ht="15" hidden="1" x14ac:dyDescent="0.25">
      <c r="A16" s="2">
        <f t="shared" si="10"/>
        <v>2.5000000000000001E-2</v>
      </c>
      <c r="B16" s="2">
        <f t="shared" si="0"/>
        <v>653.15</v>
      </c>
      <c r="C16" s="2">
        <f t="shared" si="1"/>
        <v>1.1638453314326442</v>
      </c>
      <c r="D16" s="2">
        <f t="shared" si="2"/>
        <v>-0.24914755718456286</v>
      </c>
      <c r="E16" s="2">
        <f t="shared" si="3"/>
        <v>3.7366747987382154E-2</v>
      </c>
      <c r="F16" s="2">
        <f t="shared" si="4"/>
        <v>0.27800000000000002</v>
      </c>
      <c r="G16" s="2">
        <f t="shared" si="5"/>
        <v>-2.0745038336050014E-4</v>
      </c>
      <c r="H16" s="2">
        <f t="shared" si="6"/>
        <v>0.90067361298732684</v>
      </c>
      <c r="I16" s="2">
        <f t="shared" si="7"/>
        <v>2.8036601552034451E-3</v>
      </c>
      <c r="J16" s="2">
        <f t="shared" si="8"/>
        <v>0.51138611197540829</v>
      </c>
      <c r="K16" s="2">
        <f t="shared" si="11"/>
        <v>2.9929744376172831</v>
      </c>
      <c r="L16" s="2">
        <f t="shared" si="9"/>
        <v>0.56778182973436775</v>
      </c>
      <c r="M16" s="2">
        <f t="shared" si="12"/>
        <v>3.3230399941331425</v>
      </c>
      <c r="N16" s="1"/>
      <c r="O16" s="1"/>
    </row>
    <row r="17" spans="1:15" ht="15" hidden="1" x14ac:dyDescent="0.25">
      <c r="A17" s="2">
        <f t="shared" si="10"/>
        <v>3.0000000000000002E-2</v>
      </c>
      <c r="B17" s="2">
        <f t="shared" si="0"/>
        <v>653.15</v>
      </c>
      <c r="C17" s="2">
        <f t="shared" si="1"/>
        <v>1.1638453314326442</v>
      </c>
      <c r="D17" s="2">
        <f t="shared" si="2"/>
        <v>-0.24914755718456286</v>
      </c>
      <c r="E17" s="2">
        <f t="shared" si="3"/>
        <v>3.7366747987382154E-2</v>
      </c>
      <c r="F17" s="2">
        <f t="shared" si="4"/>
        <v>0.27800000000000002</v>
      </c>
      <c r="G17" s="2">
        <f t="shared" si="5"/>
        <v>-2.0745038336050014E-4</v>
      </c>
      <c r="H17" s="2">
        <f t="shared" si="6"/>
        <v>0.90067361298732684</v>
      </c>
      <c r="I17" s="2">
        <f t="shared" si="7"/>
        <v>2.8036601552034451E-3</v>
      </c>
      <c r="J17" s="2">
        <f t="shared" si="8"/>
        <v>0.51652954785144967</v>
      </c>
      <c r="K17" s="2">
        <f t="shared" si="11"/>
        <v>3.5095039854687329</v>
      </c>
      <c r="L17" s="2">
        <f t="shared" si="9"/>
        <v>0.57349248429543753</v>
      </c>
      <c r="M17" s="2">
        <f t="shared" si="12"/>
        <v>3.89653247842858</v>
      </c>
      <c r="N17" s="1"/>
      <c r="O17" s="1"/>
    </row>
    <row r="18" spans="1:15" ht="15" hidden="1" x14ac:dyDescent="0.25">
      <c r="A18" s="2">
        <f t="shared" si="10"/>
        <v>3.5000000000000003E-2</v>
      </c>
      <c r="B18" s="2">
        <f t="shared" si="0"/>
        <v>653.15</v>
      </c>
      <c r="C18" s="2">
        <f t="shared" si="1"/>
        <v>1.1638453314326442</v>
      </c>
      <c r="D18" s="2">
        <f t="shared" si="2"/>
        <v>-0.24914755718456286</v>
      </c>
      <c r="E18" s="2">
        <f t="shared" si="3"/>
        <v>3.7366747987382154E-2</v>
      </c>
      <c r="F18" s="2">
        <f t="shared" si="4"/>
        <v>0.27800000000000002</v>
      </c>
      <c r="G18" s="2">
        <f t="shared" si="5"/>
        <v>-2.0745038336050014E-4</v>
      </c>
      <c r="H18" s="2">
        <f t="shared" si="6"/>
        <v>0.90067361298732684</v>
      </c>
      <c r="I18" s="2">
        <f t="shared" si="7"/>
        <v>2.8036601552034451E-3</v>
      </c>
      <c r="J18" s="2">
        <f t="shared" si="8"/>
        <v>0.52172628358112849</v>
      </c>
      <c r="K18" s="2">
        <f t="shared" si="11"/>
        <v>4.0312302690498614</v>
      </c>
      <c r="L18" s="2">
        <f t="shared" si="9"/>
        <v>0.57926231662397953</v>
      </c>
      <c r="M18" s="2">
        <f t="shared" si="12"/>
        <v>4.4757947950525594</v>
      </c>
      <c r="N18" s="1"/>
      <c r="O18" s="1"/>
    </row>
    <row r="19" spans="1:15" ht="15" hidden="1" x14ac:dyDescent="0.25">
      <c r="A19" s="2">
        <f t="shared" si="10"/>
        <v>0.04</v>
      </c>
      <c r="B19" s="2">
        <f t="shared" si="0"/>
        <v>653.15</v>
      </c>
      <c r="C19" s="2">
        <f t="shared" si="1"/>
        <v>1.1638453314326442</v>
      </c>
      <c r="D19" s="2">
        <f t="shared" si="2"/>
        <v>-0.24914755718456286</v>
      </c>
      <c r="E19" s="2">
        <f t="shared" si="3"/>
        <v>3.7366747987382154E-2</v>
      </c>
      <c r="F19" s="2">
        <f t="shared" si="4"/>
        <v>0.27800000000000002</v>
      </c>
      <c r="G19" s="2">
        <f t="shared" si="5"/>
        <v>-2.0745038336050014E-4</v>
      </c>
      <c r="H19" s="2">
        <f t="shared" si="6"/>
        <v>0.90067361298732684</v>
      </c>
      <c r="I19" s="2">
        <f t="shared" si="7"/>
        <v>2.8036601552034451E-3</v>
      </c>
      <c r="J19" s="2">
        <f t="shared" si="8"/>
        <v>0.52697715197465844</v>
      </c>
      <c r="K19" s="2">
        <f t="shared" si="11"/>
        <v>4.5582074210245196</v>
      </c>
      <c r="L19" s="2">
        <f t="shared" si="9"/>
        <v>0.58509225137261067</v>
      </c>
      <c r="M19" s="2">
        <f t="shared" si="12"/>
        <v>5.0608870464251705</v>
      </c>
      <c r="N19" s="1"/>
      <c r="O19" s="1"/>
    </row>
    <row r="20" spans="1:15" ht="15" hidden="1" x14ac:dyDescent="0.25">
      <c r="A20" s="2">
        <f t="shared" si="10"/>
        <v>4.4999999999999998E-2</v>
      </c>
      <c r="B20" s="2">
        <f t="shared" si="0"/>
        <v>653.15</v>
      </c>
      <c r="C20" s="2">
        <f t="shared" si="1"/>
        <v>1.1638453314326442</v>
      </c>
      <c r="D20" s="2">
        <f t="shared" si="2"/>
        <v>-0.24914755718456286</v>
      </c>
      <c r="E20" s="2">
        <f t="shared" si="3"/>
        <v>3.7366747987382154E-2</v>
      </c>
      <c r="F20" s="2">
        <f t="shared" si="4"/>
        <v>0.27800000000000002</v>
      </c>
      <c r="G20" s="2">
        <f t="shared" si="5"/>
        <v>-2.0745038336050014E-4</v>
      </c>
      <c r="H20" s="2">
        <f t="shared" si="6"/>
        <v>0.90067361298732684</v>
      </c>
      <c r="I20" s="2">
        <f t="shared" si="7"/>
        <v>2.8036601552034451E-3</v>
      </c>
      <c r="J20" s="2">
        <f t="shared" si="8"/>
        <v>0.5322830032833038</v>
      </c>
      <c r="K20" s="2">
        <f t="shared" si="11"/>
        <v>5.0904904243078235</v>
      </c>
      <c r="L20" s="2">
        <f t="shared" si="9"/>
        <v>0.59098323255840002</v>
      </c>
      <c r="M20" s="2">
        <f t="shared" si="12"/>
        <v>5.6518702789835702</v>
      </c>
      <c r="N20" s="1"/>
      <c r="O20" s="1"/>
    </row>
    <row r="21" spans="1:15" ht="15" hidden="1" x14ac:dyDescent="0.25">
      <c r="A21" s="2">
        <f t="shared" si="10"/>
        <v>4.9999999999999996E-2</v>
      </c>
      <c r="B21" s="2">
        <f t="shared" si="0"/>
        <v>653.15</v>
      </c>
      <c r="C21" s="2">
        <f t="shared" si="1"/>
        <v>1.1638453314326442</v>
      </c>
      <c r="D21" s="2">
        <f t="shared" si="2"/>
        <v>-0.24914755718456286</v>
      </c>
      <c r="E21" s="2">
        <f t="shared" si="3"/>
        <v>3.7366747987382154E-2</v>
      </c>
      <c r="F21" s="2">
        <f t="shared" si="4"/>
        <v>0.27800000000000002</v>
      </c>
      <c r="G21" s="2">
        <f t="shared" si="5"/>
        <v>-2.0745038336050014E-4</v>
      </c>
      <c r="H21" s="2">
        <f t="shared" si="6"/>
        <v>0.90067361298732684</v>
      </c>
      <c r="I21" s="2">
        <f t="shared" si="7"/>
        <v>2.8036601552034451E-3</v>
      </c>
      <c r="J21" s="2">
        <f t="shared" si="8"/>
        <v>0.53764470565835598</v>
      </c>
      <c r="K21" s="2">
        <f t="shared" si="11"/>
        <v>5.6281351299661795</v>
      </c>
      <c r="L21" s="2">
        <f t="shared" si="9"/>
        <v>0.59693622407246116</v>
      </c>
      <c r="M21" s="2">
        <f t="shared" si="12"/>
        <v>6.2488065030560316</v>
      </c>
      <c r="N21" s="1"/>
      <c r="O21" s="1"/>
    </row>
    <row r="22" spans="1:15" ht="15" hidden="1" x14ac:dyDescent="0.25">
      <c r="A22" s="2">
        <f t="shared" si="10"/>
        <v>5.4999999999999993E-2</v>
      </c>
      <c r="B22" s="2">
        <f t="shared" si="0"/>
        <v>653.15</v>
      </c>
      <c r="C22" s="2">
        <f t="shared" si="1"/>
        <v>1.1638453314326442</v>
      </c>
      <c r="D22" s="2">
        <f t="shared" si="2"/>
        <v>-0.24914755718456286</v>
      </c>
      <c r="E22" s="2">
        <f t="shared" si="3"/>
        <v>3.7366747987382154E-2</v>
      </c>
      <c r="F22" s="2">
        <f t="shared" si="4"/>
        <v>0.27800000000000002</v>
      </c>
      <c r="G22" s="2">
        <f t="shared" si="5"/>
        <v>-2.0745038336050014E-4</v>
      </c>
      <c r="H22" s="2">
        <f t="shared" si="6"/>
        <v>0.90067361298732684</v>
      </c>
      <c r="I22" s="2">
        <f t="shared" si="7"/>
        <v>2.8036601552034451E-3</v>
      </c>
      <c r="J22" s="2">
        <f t="shared" si="8"/>
        <v>0.5430631456246785</v>
      </c>
      <c r="K22" s="2">
        <f t="shared" si="11"/>
        <v>6.1711982755908581</v>
      </c>
      <c r="L22" s="2">
        <f t="shared" si="9"/>
        <v>0.60295221020571832</v>
      </c>
      <c r="M22" s="2">
        <f t="shared" si="12"/>
        <v>6.8517587132617503</v>
      </c>
      <c r="N22" s="1"/>
      <c r="O22" s="1"/>
    </row>
    <row r="23" spans="1:15" ht="15" hidden="1" x14ac:dyDescent="0.25">
      <c r="A23" s="2">
        <f t="shared" si="10"/>
        <v>5.9999999999999991E-2</v>
      </c>
      <c r="B23" s="2">
        <f t="shared" si="0"/>
        <v>653.15</v>
      </c>
      <c r="C23" s="2">
        <f t="shared" si="1"/>
        <v>1.1638453314326442</v>
      </c>
      <c r="D23" s="2">
        <f t="shared" si="2"/>
        <v>-0.24914755718456286</v>
      </c>
      <c r="E23" s="2">
        <f t="shared" si="3"/>
        <v>3.7366747987382154E-2</v>
      </c>
      <c r="F23" s="2">
        <f t="shared" si="4"/>
        <v>0.27800000000000002</v>
      </c>
      <c r="G23" s="2">
        <f t="shared" si="5"/>
        <v>-2.0745038336050014E-4</v>
      </c>
      <c r="H23" s="2">
        <f t="shared" si="6"/>
        <v>0.90067361298732684</v>
      </c>
      <c r="I23" s="2">
        <f t="shared" si="7"/>
        <v>2.8036601552034451E-3</v>
      </c>
      <c r="J23" s="2">
        <f t="shared" si="8"/>
        <v>0.54853922856936621</v>
      </c>
      <c r="K23" s="2">
        <f t="shared" si="11"/>
        <v>6.7197375041602241</v>
      </c>
      <c r="L23" s="2">
        <f t="shared" si="9"/>
        <v>0.60903219619145721</v>
      </c>
      <c r="M23" s="2">
        <f t="shared" si="12"/>
        <v>7.4607909094532072</v>
      </c>
      <c r="N23" s="1"/>
      <c r="O23" s="1"/>
    </row>
    <row r="24" spans="1:15" ht="15" hidden="1" x14ac:dyDescent="0.25">
      <c r="A24" s="2">
        <f t="shared" si="10"/>
        <v>6.4999999999999988E-2</v>
      </c>
      <c r="B24" s="2">
        <f t="shared" si="0"/>
        <v>653.15</v>
      </c>
      <c r="C24" s="2">
        <f t="shared" si="1"/>
        <v>1.1638453314326442</v>
      </c>
      <c r="D24" s="2">
        <f t="shared" si="2"/>
        <v>-0.24914755718456286</v>
      </c>
      <c r="E24" s="2">
        <f t="shared" si="3"/>
        <v>3.7366747987382154E-2</v>
      </c>
      <c r="F24" s="2">
        <f t="shared" si="4"/>
        <v>0.27800000000000002</v>
      </c>
      <c r="G24" s="2">
        <f t="shared" si="5"/>
        <v>-2.0745038336050014E-4</v>
      </c>
      <c r="H24" s="2">
        <f t="shared" si="6"/>
        <v>0.90067361298732684</v>
      </c>
      <c r="I24" s="2">
        <f t="shared" si="7"/>
        <v>2.8036601552034451E-3</v>
      </c>
      <c r="J24" s="2">
        <f t="shared" si="8"/>
        <v>0.55407387924608265</v>
      </c>
      <c r="K24" s="2">
        <f t="shared" si="11"/>
        <v>7.273811383406307</v>
      </c>
      <c r="L24" s="2">
        <f t="shared" si="9"/>
        <v>0.61517720876527882</v>
      </c>
      <c r="M24" s="2">
        <f t="shared" si="12"/>
        <v>8.0759681182184853</v>
      </c>
      <c r="N24" s="1"/>
      <c r="O24" s="1"/>
    </row>
    <row r="25" spans="1:15" ht="15" hidden="1" x14ac:dyDescent="0.25">
      <c r="A25" s="2">
        <f t="shared" si="10"/>
        <v>6.9999999999999993E-2</v>
      </c>
      <c r="B25" s="2">
        <f t="shared" si="0"/>
        <v>653.15</v>
      </c>
      <c r="C25" s="2">
        <f t="shared" si="1"/>
        <v>1.1638453314326442</v>
      </c>
      <c r="D25" s="2">
        <f t="shared" si="2"/>
        <v>-0.24914755718456286</v>
      </c>
      <c r="E25" s="2">
        <f t="shared" si="3"/>
        <v>3.7366747987382154E-2</v>
      </c>
      <c r="F25" s="2">
        <f t="shared" si="4"/>
        <v>0.27800000000000002</v>
      </c>
      <c r="G25" s="2">
        <f t="shared" si="5"/>
        <v>-2.0745038336050014E-4</v>
      </c>
      <c r="H25" s="2">
        <f t="shared" si="6"/>
        <v>0.90067361298732684</v>
      </c>
      <c r="I25" s="2">
        <f t="shared" si="7"/>
        <v>2.8036601552034451E-3</v>
      </c>
      <c r="J25" s="2">
        <f t="shared" si="8"/>
        <v>0.55966804229566713</v>
      </c>
      <c r="K25" s="2">
        <f t="shared" si="11"/>
        <v>7.8334794257019738</v>
      </c>
      <c r="L25" s="2">
        <f t="shared" si="9"/>
        <v>0.62138829674311991</v>
      </c>
      <c r="M25" s="2">
        <f t="shared" si="12"/>
        <v>8.6973564149616056</v>
      </c>
      <c r="N25" s="1"/>
      <c r="O25" s="1"/>
    </row>
    <row r="26" spans="1:15" ht="15" hidden="1" x14ac:dyDescent="0.25">
      <c r="A26" s="2">
        <f t="shared" si="10"/>
        <v>7.4999999999999997E-2</v>
      </c>
      <c r="B26" s="2">
        <f t="shared" si="0"/>
        <v>653.15</v>
      </c>
      <c r="C26" s="2">
        <f t="shared" si="1"/>
        <v>1.1638453314326442</v>
      </c>
      <c r="D26" s="2">
        <f t="shared" si="2"/>
        <v>-0.24914755718456286</v>
      </c>
      <c r="E26" s="2">
        <f t="shared" si="3"/>
        <v>3.7366747987382154E-2</v>
      </c>
      <c r="F26" s="2">
        <f t="shared" si="4"/>
        <v>0.27800000000000002</v>
      </c>
      <c r="G26" s="2">
        <f t="shared" si="5"/>
        <v>-2.0745038336050014E-4</v>
      </c>
      <c r="H26" s="2">
        <f t="shared" si="6"/>
        <v>0.90067361298732684</v>
      </c>
      <c r="I26" s="2">
        <f t="shared" si="7"/>
        <v>2.8036601552034451E-3</v>
      </c>
      <c r="J26" s="2">
        <f t="shared" si="8"/>
        <v>0.5653226827836253</v>
      </c>
      <c r="K26" s="2">
        <f t="shared" si="11"/>
        <v>8.398802108485599</v>
      </c>
      <c r="L26" s="2">
        <f t="shared" si="9"/>
        <v>0.62766653161801877</v>
      </c>
      <c r="M26" s="2">
        <f t="shared" si="12"/>
        <v>9.3250229465796242</v>
      </c>
      <c r="N26" s="1"/>
      <c r="O26" s="1"/>
    </row>
    <row r="27" spans="1:15" ht="15" hidden="1" x14ac:dyDescent="0.25">
      <c r="A27" s="2">
        <f t="shared" si="10"/>
        <v>0.08</v>
      </c>
      <c r="B27" s="2">
        <f t="shared" si="0"/>
        <v>653.15</v>
      </c>
      <c r="C27" s="2">
        <f t="shared" si="1"/>
        <v>1.1638453314326442</v>
      </c>
      <c r="D27" s="2">
        <f t="shared" si="2"/>
        <v>-0.24914755718456286</v>
      </c>
      <c r="E27" s="2">
        <f t="shared" si="3"/>
        <v>3.7366747987382154E-2</v>
      </c>
      <c r="F27" s="2">
        <f t="shared" si="4"/>
        <v>0.27800000000000002</v>
      </c>
      <c r="G27" s="2">
        <f t="shared" si="5"/>
        <v>-2.0745038336050014E-4</v>
      </c>
      <c r="H27" s="2">
        <f t="shared" si="6"/>
        <v>0.90067361298732684</v>
      </c>
      <c r="I27" s="2">
        <f t="shared" si="7"/>
        <v>2.8036601552034451E-3</v>
      </c>
      <c r="J27" s="2">
        <f t="shared" si="8"/>
        <v>0.57103878675514841</v>
      </c>
      <c r="K27" s="2">
        <f t="shared" si="11"/>
        <v>8.9698408952407469</v>
      </c>
      <c r="L27" s="2">
        <f t="shared" si="9"/>
        <v>0.63401300817634065</v>
      </c>
      <c r="M27" s="2">
        <f t="shared" si="12"/>
        <v>9.959035954755965</v>
      </c>
      <c r="N27" s="1"/>
      <c r="O27" s="1"/>
    </row>
    <row r="28" spans="1:15" ht="15" hidden="1" x14ac:dyDescent="0.25">
      <c r="A28" s="2">
        <f t="shared" si="10"/>
        <v>8.5000000000000006E-2</v>
      </c>
      <c r="B28" s="2">
        <f t="shared" si="0"/>
        <v>653.15</v>
      </c>
      <c r="C28" s="2">
        <f t="shared" si="1"/>
        <v>1.1638453314326442</v>
      </c>
      <c r="D28" s="2">
        <f t="shared" si="2"/>
        <v>-0.24914755718456286</v>
      </c>
      <c r="E28" s="2">
        <f t="shared" si="3"/>
        <v>3.7366747987382154E-2</v>
      </c>
      <c r="F28" s="2">
        <f t="shared" si="4"/>
        <v>0.27800000000000002</v>
      </c>
      <c r="G28" s="2">
        <f t="shared" si="5"/>
        <v>-2.0745038336050014E-4</v>
      </c>
      <c r="H28" s="2">
        <f t="shared" si="6"/>
        <v>0.90067361298732684</v>
      </c>
      <c r="I28" s="2">
        <f t="shared" si="7"/>
        <v>2.8036601552034451E-3</v>
      </c>
      <c r="J28" s="2">
        <f t="shared" si="8"/>
        <v>0.57681736180832732</v>
      </c>
      <c r="K28" s="2">
        <f t="shared" si="11"/>
        <v>9.5466582570490743</v>
      </c>
      <c r="L28" s="2">
        <f t="shared" si="9"/>
        <v>0.64042884513420695</v>
      </c>
      <c r="M28" s="2">
        <f t="shared" si="12"/>
        <v>10.599464799890171</v>
      </c>
      <c r="N28" s="1"/>
      <c r="O28" s="1"/>
    </row>
    <row r="29" spans="1:15" ht="15" hidden="1" x14ac:dyDescent="0.25">
      <c r="A29" s="2">
        <f t="shared" si="10"/>
        <v>9.0000000000000011E-2</v>
      </c>
      <c r="B29" s="2">
        <f t="shared" si="0"/>
        <v>653.15</v>
      </c>
      <c r="C29" s="2">
        <f t="shared" si="1"/>
        <v>1.1638453314326442</v>
      </c>
      <c r="D29" s="2">
        <f t="shared" si="2"/>
        <v>-0.24914755718456286</v>
      </c>
      <c r="E29" s="2">
        <f t="shared" si="3"/>
        <v>3.7366747987382154E-2</v>
      </c>
      <c r="F29" s="2">
        <f t="shared" si="4"/>
        <v>0.27800000000000002</v>
      </c>
      <c r="G29" s="2">
        <f t="shared" si="5"/>
        <v>-2.0745038336050014E-4</v>
      </c>
      <c r="H29" s="2">
        <f t="shared" si="6"/>
        <v>0.90067361298732684</v>
      </c>
      <c r="I29" s="2">
        <f t="shared" si="7"/>
        <v>2.8036601552034451E-3</v>
      </c>
      <c r="J29" s="2">
        <f t="shared" si="8"/>
        <v>0.5826594376862666</v>
      </c>
      <c r="K29" s="2">
        <f t="shared" si="11"/>
        <v>10.129317694735342</v>
      </c>
      <c r="L29" s="2">
        <f t="shared" si="9"/>
        <v>0.64691518579490681</v>
      </c>
      <c r="M29" s="2">
        <f t="shared" si="12"/>
        <v>11.246379985685078</v>
      </c>
      <c r="N29" s="1"/>
      <c r="O29" s="1"/>
    </row>
    <row r="30" spans="1:15" ht="15" hidden="1" x14ac:dyDescent="0.25">
      <c r="A30" s="2">
        <f t="shared" si="10"/>
        <v>9.5000000000000015E-2</v>
      </c>
      <c r="B30" s="2">
        <f t="shared" si="0"/>
        <v>653.15</v>
      </c>
      <c r="C30" s="2">
        <f t="shared" si="1"/>
        <v>1.1638453314326442</v>
      </c>
      <c r="D30" s="2">
        <f t="shared" si="2"/>
        <v>-0.24914755718456286</v>
      </c>
      <c r="E30" s="2">
        <f t="shared" si="3"/>
        <v>3.7366747987382154E-2</v>
      </c>
      <c r="F30" s="2">
        <f t="shared" si="4"/>
        <v>0.27800000000000002</v>
      </c>
      <c r="G30" s="2">
        <f t="shared" si="5"/>
        <v>-2.0745038336050014E-4</v>
      </c>
      <c r="H30" s="2">
        <f t="shared" si="6"/>
        <v>0.90067361298732684</v>
      </c>
      <c r="I30" s="2">
        <f t="shared" si="7"/>
        <v>2.8036601552034451E-3</v>
      </c>
      <c r="J30" s="2">
        <f t="shared" si="8"/>
        <v>0.58856606688882385</v>
      </c>
      <c r="K30" s="2">
        <f t="shared" si="11"/>
        <v>10.717883761624165</v>
      </c>
      <c r="L30" s="2">
        <f t="shared" si="9"/>
        <v>0.65347319872810061</v>
      </c>
      <c r="M30" s="2">
        <f t="shared" si="12"/>
        <v>11.899853184413178</v>
      </c>
      <c r="N30" s="1"/>
      <c r="O30" s="1"/>
    </row>
    <row r="31" spans="1:15" ht="15" hidden="1" x14ac:dyDescent="0.25">
      <c r="A31" s="2">
        <f t="shared" si="10"/>
        <v>0.10000000000000002</v>
      </c>
      <c r="B31" s="2">
        <f t="shared" si="0"/>
        <v>653.15</v>
      </c>
      <c r="C31" s="2">
        <f t="shared" si="1"/>
        <v>1.1638453314326442</v>
      </c>
      <c r="D31" s="2">
        <f t="shared" si="2"/>
        <v>-0.24914755718456286</v>
      </c>
      <c r="E31" s="2">
        <f t="shared" si="3"/>
        <v>3.7366747987382154E-2</v>
      </c>
      <c r="F31" s="2">
        <f t="shared" si="4"/>
        <v>0.27800000000000002</v>
      </c>
      <c r="G31" s="2">
        <f t="shared" si="5"/>
        <v>-2.0745038336050014E-4</v>
      </c>
      <c r="H31" s="2">
        <f t="shared" si="6"/>
        <v>0.90067361298732684</v>
      </c>
      <c r="I31" s="2">
        <f t="shared" si="7"/>
        <v>2.8036601552034451E-3</v>
      </c>
      <c r="J31" s="2">
        <f t="shared" si="8"/>
        <v>0.59453832530474293</v>
      </c>
      <c r="K31" s="2">
        <f t="shared" si="11"/>
        <v>11.312422086928908</v>
      </c>
      <c r="L31" s="2">
        <f t="shared" si="9"/>
        <v>0.6601040784716633</v>
      </c>
      <c r="M31" s="2">
        <f t="shared" si="12"/>
        <v>12.559957262884842</v>
      </c>
      <c r="N31" s="1"/>
      <c r="O31" s="1"/>
    </row>
    <row r="32" spans="1:15" ht="15" hidden="1" x14ac:dyDescent="0.25">
      <c r="A32" s="2">
        <f t="shared" si="10"/>
        <v>0.10500000000000002</v>
      </c>
      <c r="B32" s="2">
        <f t="shared" si="0"/>
        <v>653.15</v>
      </c>
      <c r="C32" s="2">
        <f t="shared" si="1"/>
        <v>1.1638453314326442</v>
      </c>
      <c r="D32" s="2">
        <f t="shared" si="2"/>
        <v>-0.24914755718456286</v>
      </c>
      <c r="E32" s="2">
        <f t="shared" si="3"/>
        <v>3.7366747987382154E-2</v>
      </c>
      <c r="F32" s="2">
        <f t="shared" si="4"/>
        <v>0.27800000000000002</v>
      </c>
      <c r="G32" s="2">
        <f t="shared" si="5"/>
        <v>-2.0745038336050014E-4</v>
      </c>
      <c r="H32" s="2">
        <f t="shared" si="6"/>
        <v>0.90067361298732684</v>
      </c>
      <c r="I32" s="2">
        <f t="shared" si="7"/>
        <v>2.8036601552034451E-3</v>
      </c>
      <c r="J32" s="2">
        <f t="shared" si="8"/>
        <v>0.60057731286497384</v>
      </c>
      <c r="K32" s="2">
        <f t="shared" si="11"/>
        <v>11.912999399793883</v>
      </c>
      <c r="L32" s="2">
        <f t="shared" si="9"/>
        <v>0.66680904625705339</v>
      </c>
      <c r="M32" s="2">
        <f t="shared" si="12"/>
        <v>13.226766309141896</v>
      </c>
      <c r="N32" s="1"/>
      <c r="O32" s="1"/>
    </row>
    <row r="33" spans="1:15" ht="15" hidden="1" x14ac:dyDescent="0.25">
      <c r="A33" s="2">
        <f t="shared" si="10"/>
        <v>0.11000000000000003</v>
      </c>
      <c r="B33" s="2">
        <f t="shared" si="0"/>
        <v>653.15</v>
      </c>
      <c r="C33" s="2">
        <f t="shared" si="1"/>
        <v>1.1638453314326442</v>
      </c>
      <c r="D33" s="2">
        <f t="shared" si="2"/>
        <v>-0.24914755718456286</v>
      </c>
      <c r="E33" s="2">
        <f t="shared" si="3"/>
        <v>3.7366747987382154E-2</v>
      </c>
      <c r="F33" s="2">
        <f t="shared" si="4"/>
        <v>0.27800000000000002</v>
      </c>
      <c r="G33" s="2">
        <f t="shared" si="5"/>
        <v>-2.0745038336050014E-4</v>
      </c>
      <c r="H33" s="2">
        <f t="shared" si="6"/>
        <v>0.90067361298732684</v>
      </c>
      <c r="I33" s="2">
        <f t="shared" si="7"/>
        <v>2.8036601552034451E-3</v>
      </c>
      <c r="J33" s="2">
        <f t="shared" si="8"/>
        <v>0.60668415421801647</v>
      </c>
      <c r="K33" s="2">
        <f t="shared" si="11"/>
        <v>12.519683554011898</v>
      </c>
      <c r="L33" s="2">
        <f t="shared" si="9"/>
        <v>0.6735893507591334</v>
      </c>
      <c r="M33" s="2">
        <f t="shared" si="12"/>
        <v>13.900355659901029</v>
      </c>
      <c r="N33" s="1"/>
      <c r="O33" s="1"/>
    </row>
    <row r="34" spans="1:15" ht="15" hidden="1" x14ac:dyDescent="0.25">
      <c r="A34" s="2">
        <f t="shared" si="10"/>
        <v>0.11500000000000003</v>
      </c>
      <c r="B34" s="2">
        <f t="shared" si="0"/>
        <v>653.15</v>
      </c>
      <c r="C34" s="2">
        <f t="shared" si="1"/>
        <v>1.1638453314326442</v>
      </c>
      <c r="D34" s="2">
        <f t="shared" si="2"/>
        <v>-0.24914755718456286</v>
      </c>
      <c r="E34" s="2">
        <f t="shared" si="3"/>
        <v>3.7366747987382154E-2</v>
      </c>
      <c r="F34" s="2">
        <f t="shared" si="4"/>
        <v>0.27800000000000002</v>
      </c>
      <c r="G34" s="2">
        <f t="shared" si="5"/>
        <v>-2.0745038336050014E-4</v>
      </c>
      <c r="H34" s="2">
        <f t="shared" si="6"/>
        <v>0.90067361298732684</v>
      </c>
      <c r="I34" s="2">
        <f t="shared" si="7"/>
        <v>2.8036601552034451E-3</v>
      </c>
      <c r="J34" s="2">
        <f t="shared" si="8"/>
        <v>0.61285999942815561</v>
      </c>
      <c r="K34" s="2">
        <f t="shared" si="11"/>
        <v>13.132543553440055</v>
      </c>
      <c r="L34" s="2">
        <f t="shared" si="9"/>
        <v>0.68044626887140636</v>
      </c>
      <c r="M34" s="2">
        <f t="shared" si="12"/>
        <v>14.580801928772436</v>
      </c>
      <c r="N34" s="1"/>
      <c r="O34" s="1"/>
    </row>
    <row r="35" spans="1:15" ht="15" hidden="1" x14ac:dyDescent="0.25">
      <c r="A35" s="2">
        <f t="shared" si="10"/>
        <v>0.12000000000000004</v>
      </c>
      <c r="B35" s="2">
        <f t="shared" si="0"/>
        <v>653.15</v>
      </c>
      <c r="C35" s="2">
        <f t="shared" si="1"/>
        <v>1.1638453314326442</v>
      </c>
      <c r="D35" s="2">
        <f t="shared" si="2"/>
        <v>-0.24914755718456286</v>
      </c>
      <c r="E35" s="2">
        <f t="shared" si="3"/>
        <v>3.7366747987382154E-2</v>
      </c>
      <c r="F35" s="2">
        <f t="shared" si="4"/>
        <v>0.27800000000000002</v>
      </c>
      <c r="G35" s="2">
        <f t="shared" si="5"/>
        <v>-2.0745038336050014E-4</v>
      </c>
      <c r="H35" s="2">
        <f t="shared" si="6"/>
        <v>0.90067361298732684</v>
      </c>
      <c r="I35" s="2">
        <f t="shared" si="7"/>
        <v>2.8036601552034451E-3</v>
      </c>
      <c r="J35" s="2">
        <f t="shared" si="8"/>
        <v>0.61910602469750098</v>
      </c>
      <c r="K35" s="2">
        <f t="shared" si="11"/>
        <v>13.751649578137556</v>
      </c>
      <c r="L35" s="2">
        <f t="shared" si="9"/>
        <v>0.68738110650768247</v>
      </c>
      <c r="M35" s="2">
        <f t="shared" si="12"/>
        <v>15.268183035280119</v>
      </c>
      <c r="N35" s="1"/>
      <c r="O35" s="1"/>
    </row>
    <row r="36" spans="1:15" ht="15" hidden="1" x14ac:dyDescent="0.25">
      <c r="A36" s="2">
        <f t="shared" si="10"/>
        <v>0.12500000000000003</v>
      </c>
      <c r="B36" s="2">
        <f t="shared" si="0"/>
        <v>653.15</v>
      </c>
      <c r="C36" s="2">
        <f t="shared" si="1"/>
        <v>1.1638453314326442</v>
      </c>
      <c r="D36" s="2">
        <f t="shared" si="2"/>
        <v>-0.24914755718456286</v>
      </c>
      <c r="E36" s="2">
        <f t="shared" si="3"/>
        <v>3.7366747987382154E-2</v>
      </c>
      <c r="F36" s="2">
        <f t="shared" si="4"/>
        <v>0.27800000000000002</v>
      </c>
      <c r="G36" s="2">
        <f t="shared" si="5"/>
        <v>-2.0745038336050014E-4</v>
      </c>
      <c r="H36" s="2">
        <f t="shared" si="6"/>
        <v>0.90067361298732684</v>
      </c>
      <c r="I36" s="2">
        <f t="shared" si="7"/>
        <v>2.8036601552034451E-3</v>
      </c>
      <c r="J36" s="2">
        <f t="shared" si="8"/>
        <v>0.62542343311278148</v>
      </c>
      <c r="K36" s="2">
        <f t="shared" si="11"/>
        <v>14.377073011250337</v>
      </c>
      <c r="L36" s="2">
        <f t="shared" si="9"/>
        <v>0.69439519943123018</v>
      </c>
      <c r="M36" s="2">
        <f t="shared" si="12"/>
        <v>15.96257823471135</v>
      </c>
      <c r="N36" s="1"/>
      <c r="O36" s="1"/>
    </row>
    <row r="37" spans="1:15" ht="15" hidden="1" x14ac:dyDescent="0.25">
      <c r="A37" s="2">
        <f t="shared" si="10"/>
        <v>0.13000000000000003</v>
      </c>
      <c r="B37" s="2">
        <f t="shared" si="0"/>
        <v>653.15</v>
      </c>
      <c r="C37" s="2">
        <f t="shared" si="1"/>
        <v>1.1638453314326442</v>
      </c>
      <c r="D37" s="2">
        <f t="shared" si="2"/>
        <v>-0.24914755718456286</v>
      </c>
      <c r="E37" s="2">
        <f t="shared" si="3"/>
        <v>3.7366747987382154E-2</v>
      </c>
      <c r="F37" s="2">
        <f t="shared" si="4"/>
        <v>0.27800000000000002</v>
      </c>
      <c r="G37" s="2">
        <f t="shared" si="5"/>
        <v>-2.0745038336050014E-4</v>
      </c>
      <c r="H37" s="2">
        <f t="shared" si="6"/>
        <v>0.90067361298732684</v>
      </c>
      <c r="I37" s="2">
        <f t="shared" si="7"/>
        <v>2.8036601552034451E-3</v>
      </c>
      <c r="J37" s="2">
        <f t="shared" si="8"/>
        <v>0.63181345541789302</v>
      </c>
      <c r="K37" s="2">
        <f t="shared" si="11"/>
        <v>15.00888646666823</v>
      </c>
      <c r="L37" s="2">
        <f t="shared" si="9"/>
        <v>0.70148991411252004</v>
      </c>
      <c r="M37" s="2">
        <f t="shared" si="12"/>
        <v>16.664068148823869</v>
      </c>
      <c r="N37" s="1"/>
      <c r="O37" s="1"/>
    </row>
    <row r="38" spans="1:15" ht="15" hidden="1" x14ac:dyDescent="0.25">
      <c r="A38" s="2">
        <f t="shared" si="10"/>
        <v>0.13500000000000004</v>
      </c>
      <c r="B38" s="2">
        <f t="shared" si="0"/>
        <v>653.15</v>
      </c>
      <c r="C38" s="2">
        <f t="shared" si="1"/>
        <v>1.1638453314326442</v>
      </c>
      <c r="D38" s="2">
        <f t="shared" si="2"/>
        <v>-0.24914755718456286</v>
      </c>
      <c r="E38" s="2">
        <f t="shared" si="3"/>
        <v>3.7366747987382154E-2</v>
      </c>
      <c r="F38" s="2">
        <f t="shared" si="4"/>
        <v>0.27800000000000002</v>
      </c>
      <c r="G38" s="2">
        <f t="shared" si="5"/>
        <v>-2.0745038336050014E-4</v>
      </c>
      <c r="H38" s="2">
        <f t="shared" si="6"/>
        <v>0.90067361298732684</v>
      </c>
      <c r="I38" s="2">
        <f t="shared" si="7"/>
        <v>2.8036601552034451E-3</v>
      </c>
      <c r="J38" s="2">
        <f t="shared" si="8"/>
        <v>0.63827735081323678</v>
      </c>
      <c r="K38" s="2">
        <f t="shared" si="11"/>
        <v>15.647163817481466</v>
      </c>
      <c r="L38" s="2">
        <f t="shared" si="9"/>
        <v>0.70866664861671469</v>
      </c>
      <c r="M38" s="2">
        <f t="shared" si="12"/>
        <v>17.372734797440582</v>
      </c>
      <c r="N38" s="1"/>
      <c r="O38" s="1"/>
    </row>
    <row r="39" spans="1:15" ht="15" hidden="1" x14ac:dyDescent="0.25">
      <c r="A39" s="2">
        <f t="shared" si="10"/>
        <v>0.14000000000000004</v>
      </c>
      <c r="B39" s="2">
        <f t="shared" si="0"/>
        <v>653.15</v>
      </c>
      <c r="C39" s="2">
        <f t="shared" si="1"/>
        <v>1.1638453314326442</v>
      </c>
      <c r="D39" s="2">
        <f t="shared" si="2"/>
        <v>-0.24914755718456286</v>
      </c>
      <c r="E39" s="2">
        <f t="shared" si="3"/>
        <v>3.7366747987382154E-2</v>
      </c>
      <c r="F39" s="2">
        <f t="shared" si="4"/>
        <v>0.27800000000000002</v>
      </c>
      <c r="G39" s="2">
        <f t="shared" si="5"/>
        <v>-2.0745038336050014E-4</v>
      </c>
      <c r="H39" s="2">
        <f t="shared" si="6"/>
        <v>0.90067361298732684</v>
      </c>
      <c r="I39" s="2">
        <f t="shared" si="7"/>
        <v>2.8036601552034451E-3</v>
      </c>
      <c r="J39" s="2">
        <f t="shared" si="8"/>
        <v>0.64481640778294536</v>
      </c>
      <c r="K39" s="2">
        <f t="shared" si="11"/>
        <v>16.29198022526441</v>
      </c>
      <c r="L39" s="2">
        <f t="shared" si="9"/>
        <v>0.71592683352212116</v>
      </c>
      <c r="M39" s="2">
        <f t="shared" si="12"/>
        <v>18.088661630962704</v>
      </c>
      <c r="N39" s="1"/>
      <c r="O39" s="1"/>
    </row>
    <row r="40" spans="1:15" ht="15" hidden="1" x14ac:dyDescent="0.25">
      <c r="A40" s="2">
        <f t="shared" si="10"/>
        <v>0.14500000000000005</v>
      </c>
      <c r="B40" s="2">
        <f t="shared" si="0"/>
        <v>653.15</v>
      </c>
      <c r="C40" s="2">
        <f t="shared" si="1"/>
        <v>1.1638453314326442</v>
      </c>
      <c r="D40" s="2">
        <f t="shared" si="2"/>
        <v>-0.24914755718456286</v>
      </c>
      <c r="E40" s="2">
        <f t="shared" si="3"/>
        <v>3.7366747987382154E-2</v>
      </c>
      <c r="F40" s="2">
        <f t="shared" si="4"/>
        <v>0.27800000000000002</v>
      </c>
      <c r="G40" s="2">
        <f t="shared" si="5"/>
        <v>-2.0745038336050014E-4</v>
      </c>
      <c r="H40" s="2">
        <f t="shared" si="6"/>
        <v>0.90067361298732684</v>
      </c>
      <c r="I40" s="2">
        <f t="shared" si="7"/>
        <v>2.8036601552034451E-3</v>
      </c>
      <c r="J40" s="2">
        <f t="shared" si="8"/>
        <v>0.65143194495112977</v>
      </c>
      <c r="K40" s="2">
        <f t="shared" si="11"/>
        <v>16.943412170215542</v>
      </c>
      <c r="L40" s="2">
        <f t="shared" si="9"/>
        <v>0.72327193287086555</v>
      </c>
      <c r="M40" s="2">
        <f t="shared" si="12"/>
        <v>18.81193356383357</v>
      </c>
      <c r="N40" s="1"/>
      <c r="O40" s="1"/>
    </row>
    <row r="41" spans="1:15" ht="15" hidden="1" x14ac:dyDescent="0.25">
      <c r="A41" s="2">
        <f t="shared" si="10"/>
        <v>0.15000000000000005</v>
      </c>
      <c r="B41" s="2">
        <f t="shared" si="0"/>
        <v>653.15</v>
      </c>
      <c r="C41" s="2">
        <f t="shared" si="1"/>
        <v>1.1638453314326442</v>
      </c>
      <c r="D41" s="2">
        <f t="shared" si="2"/>
        <v>-0.24914755718456286</v>
      </c>
      <c r="E41" s="2">
        <f t="shared" si="3"/>
        <v>3.7366747987382154E-2</v>
      </c>
      <c r="F41" s="2">
        <f t="shared" si="4"/>
        <v>0.27800000000000002</v>
      </c>
      <c r="G41" s="2">
        <f t="shared" si="5"/>
        <v>-2.0745038336050014E-4</v>
      </c>
      <c r="H41" s="2">
        <f t="shared" si="6"/>
        <v>0.90067361298732684</v>
      </c>
      <c r="I41" s="2">
        <f t="shared" si="7"/>
        <v>2.8036601552034451E-3</v>
      </c>
      <c r="J41" s="2">
        <f t="shared" si="8"/>
        <v>0.65812531196835178</v>
      </c>
      <c r="K41" s="2">
        <f t="shared" si="11"/>
        <v>17.601537482183893</v>
      </c>
      <c r="L41" s="2">
        <f t="shared" si="9"/>
        <v>0.73070344515312469</v>
      </c>
      <c r="M41" s="2">
        <f t="shared" si="12"/>
        <v>19.542637008986695</v>
      </c>
      <c r="N41" s="1"/>
      <c r="O41" s="1"/>
    </row>
    <row r="42" spans="1:15" ht="15" hidden="1" x14ac:dyDescent="0.25">
      <c r="A42" s="2">
        <f t="shared" si="10"/>
        <v>0.15500000000000005</v>
      </c>
      <c r="B42" s="2">
        <f t="shared" si="0"/>
        <v>653.15</v>
      </c>
      <c r="C42" s="2">
        <f t="shared" si="1"/>
        <v>1.1638453314326442</v>
      </c>
      <c r="D42" s="2">
        <f t="shared" si="2"/>
        <v>-0.24914755718456286</v>
      </c>
      <c r="E42" s="2">
        <f t="shared" si="3"/>
        <v>3.7366747987382154E-2</v>
      </c>
      <c r="F42" s="2">
        <f t="shared" si="4"/>
        <v>0.27800000000000002</v>
      </c>
      <c r="G42" s="2">
        <f t="shared" si="5"/>
        <v>-2.0745038336050014E-4</v>
      </c>
      <c r="H42" s="2">
        <f t="shared" si="6"/>
        <v>0.90067361298732684</v>
      </c>
      <c r="I42" s="2">
        <f t="shared" si="7"/>
        <v>2.8036601552034451E-3</v>
      </c>
      <c r="J42" s="2">
        <f t="shared" si="8"/>
        <v>0.6648978904295646</v>
      </c>
      <c r="K42" s="2">
        <f t="shared" si="11"/>
        <v>18.266435372613458</v>
      </c>
      <c r="L42" s="2">
        <f t="shared" si="9"/>
        <v>0.738222904326298</v>
      </c>
      <c r="M42" s="2">
        <f t="shared" si="12"/>
        <v>20.280859913312995</v>
      </c>
      <c r="N42" s="1"/>
      <c r="O42" s="1"/>
    </row>
    <row r="43" spans="1:15" ht="15" hidden="1" x14ac:dyDescent="0.25">
      <c r="A43" s="2">
        <f t="shared" si="10"/>
        <v>0.16000000000000006</v>
      </c>
      <c r="B43" s="2">
        <f t="shared" si="0"/>
        <v>653.15</v>
      </c>
      <c r="C43" s="2">
        <f t="shared" si="1"/>
        <v>1.1638453314326442</v>
      </c>
      <c r="D43" s="2">
        <f t="shared" si="2"/>
        <v>-0.24914755718456286</v>
      </c>
      <c r="E43" s="2">
        <f t="shared" si="3"/>
        <v>3.7366747987382154E-2</v>
      </c>
      <c r="F43" s="2">
        <f t="shared" si="4"/>
        <v>0.27800000000000002</v>
      </c>
      <c r="G43" s="2">
        <f t="shared" si="5"/>
        <v>-2.0745038336050014E-4</v>
      </c>
      <c r="H43" s="2">
        <f t="shared" si="6"/>
        <v>0.90067361298732684</v>
      </c>
      <c r="I43" s="2">
        <f t="shared" si="7"/>
        <v>2.8036601552034451E-3</v>
      </c>
      <c r="J43" s="2">
        <f t="shared" si="8"/>
        <v>0.67175109482483963</v>
      </c>
      <c r="K43" s="2">
        <f t="shared" si="11"/>
        <v>18.938186467438296</v>
      </c>
      <c r="L43" s="2">
        <f t="shared" si="9"/>
        <v>0.74583188087058083</v>
      </c>
      <c r="M43" s="2">
        <f t="shared" si="12"/>
        <v>21.026691794183577</v>
      </c>
      <c r="N43" s="1"/>
      <c r="O43" s="1"/>
    </row>
    <row r="44" spans="1:15" ht="15" hidden="1" x14ac:dyDescent="0.25">
      <c r="A44" s="2">
        <f t="shared" si="10"/>
        <v>0.16500000000000006</v>
      </c>
      <c r="B44" s="2">
        <f t="shared" si="0"/>
        <v>653.15</v>
      </c>
      <c r="C44" s="2">
        <f t="shared" si="1"/>
        <v>1.1638453314326442</v>
      </c>
      <c r="D44" s="2">
        <f t="shared" si="2"/>
        <v>-0.24914755718456286</v>
      </c>
      <c r="E44" s="2">
        <f t="shared" si="3"/>
        <v>3.7366747987382154E-2</v>
      </c>
      <c r="F44" s="2">
        <f t="shared" si="4"/>
        <v>0.27800000000000002</v>
      </c>
      <c r="G44" s="2">
        <f t="shared" si="5"/>
        <v>-2.0745038336050014E-4</v>
      </c>
      <c r="H44" s="2">
        <f t="shared" si="6"/>
        <v>0.90067361298732684</v>
      </c>
      <c r="I44" s="2">
        <f t="shared" si="7"/>
        <v>2.8036601552034451E-3</v>
      </c>
      <c r="J44" s="2">
        <f t="shared" si="8"/>
        <v>0.67868637352424932</v>
      </c>
      <c r="K44" s="2">
        <f t="shared" si="11"/>
        <v>19.616872840962547</v>
      </c>
      <c r="L44" s="2">
        <f t="shared" si="9"/>
        <v>0.75353198288245937</v>
      </c>
      <c r="M44" s="2">
        <f t="shared" si="12"/>
        <v>21.780223777066038</v>
      </c>
      <c r="N44" s="1"/>
      <c r="O44" s="1"/>
    </row>
    <row r="45" spans="1:15" ht="15" hidden="1" x14ac:dyDescent="0.25">
      <c r="A45" s="2">
        <f t="shared" si="10"/>
        <v>0.17000000000000007</v>
      </c>
      <c r="B45" s="2">
        <f t="shared" si="0"/>
        <v>653.15</v>
      </c>
      <c r="C45" s="2">
        <f t="shared" si="1"/>
        <v>1.1638453314326442</v>
      </c>
      <c r="D45" s="2">
        <f t="shared" si="2"/>
        <v>-0.24914755718456286</v>
      </c>
      <c r="E45" s="2">
        <f t="shared" si="3"/>
        <v>3.7366747987382154E-2</v>
      </c>
      <c r="F45" s="2">
        <f t="shared" si="4"/>
        <v>0.27800000000000002</v>
      </c>
      <c r="G45" s="2">
        <f t="shared" si="5"/>
        <v>-2.0745038336050014E-4</v>
      </c>
      <c r="H45" s="2">
        <f t="shared" si="6"/>
        <v>0.90067361298732684</v>
      </c>
      <c r="I45" s="2">
        <f t="shared" si="7"/>
        <v>2.8036601552034451E-3</v>
      </c>
      <c r="J45" s="2">
        <f t="shared" si="8"/>
        <v>0.68570520979835092</v>
      </c>
      <c r="K45" s="2">
        <f t="shared" si="11"/>
        <v>20.302578050760896</v>
      </c>
      <c r="L45" s="2">
        <f t="shared" si="9"/>
        <v>0.76132485720773446</v>
      </c>
      <c r="M45" s="2">
        <f t="shared" si="12"/>
        <v>22.541548634273774</v>
      </c>
      <c r="N45" s="1"/>
      <c r="O45" s="1"/>
    </row>
    <row r="46" spans="1:15" ht="15" hidden="1" x14ac:dyDescent="0.25">
      <c r="A46" s="2">
        <f t="shared" si="10"/>
        <v>0.17500000000000007</v>
      </c>
      <c r="B46" s="2">
        <f t="shared" si="0"/>
        <v>653.15</v>
      </c>
      <c r="C46" s="2">
        <f t="shared" si="1"/>
        <v>1.1638453314326442</v>
      </c>
      <c r="D46" s="2">
        <f t="shared" si="2"/>
        <v>-0.24914755718456286</v>
      </c>
      <c r="E46" s="2">
        <f t="shared" si="3"/>
        <v>3.7366747987382154E-2</v>
      </c>
      <c r="F46" s="2">
        <f t="shared" si="4"/>
        <v>0.27800000000000002</v>
      </c>
      <c r="G46" s="2">
        <f t="shared" si="5"/>
        <v>-2.0745038336050014E-4</v>
      </c>
      <c r="H46" s="2">
        <f t="shared" si="6"/>
        <v>0.90067361298732684</v>
      </c>
      <c r="I46" s="2">
        <f t="shared" si="7"/>
        <v>2.8036601552034451E-3</v>
      </c>
      <c r="J46" s="2">
        <f t="shared" si="8"/>
        <v>0.69280912287577479</v>
      </c>
      <c r="K46" s="2">
        <f t="shared" si="11"/>
        <v>20.995387173636672</v>
      </c>
      <c r="L46" s="2">
        <f t="shared" si="9"/>
        <v>0.76921219061573998</v>
      </c>
      <c r="M46" s="2">
        <f t="shared" si="12"/>
        <v>23.310760824889513</v>
      </c>
      <c r="N46" s="1"/>
      <c r="O46" s="1"/>
    </row>
    <row r="47" spans="1:15" ht="15" hidden="1" x14ac:dyDescent="0.25">
      <c r="A47" s="2">
        <f t="shared" si="10"/>
        <v>0.18000000000000008</v>
      </c>
      <c r="B47" s="2">
        <f t="shared" si="0"/>
        <v>653.15</v>
      </c>
      <c r="C47" s="2">
        <f t="shared" si="1"/>
        <v>1.1638453314326442</v>
      </c>
      <c r="D47" s="2">
        <f t="shared" si="2"/>
        <v>-0.24914755718456286</v>
      </c>
      <c r="E47" s="2">
        <f t="shared" si="3"/>
        <v>3.7366747987382154E-2</v>
      </c>
      <c r="F47" s="2">
        <f t="shared" si="4"/>
        <v>0.27800000000000002</v>
      </c>
      <c r="G47" s="2">
        <f t="shared" si="5"/>
        <v>-2.0745038336050014E-4</v>
      </c>
      <c r="H47" s="2">
        <f t="shared" si="6"/>
        <v>0.90067361298732684</v>
      </c>
      <c r="I47" s="2">
        <f t="shared" si="7"/>
        <v>2.8036601552034451E-3</v>
      </c>
      <c r="J47" s="2">
        <f t="shared" si="8"/>
        <v>0.69999966903950894</v>
      </c>
      <c r="K47" s="2">
        <f t="shared" si="11"/>
        <v>21.695386842676182</v>
      </c>
      <c r="L47" s="2">
        <f t="shared" si="9"/>
        <v>0.77719571101652607</v>
      </c>
      <c r="M47" s="2">
        <f t="shared" si="12"/>
        <v>24.087956535906038</v>
      </c>
      <c r="N47" s="1"/>
      <c r="O47" s="1"/>
    </row>
    <row r="48" spans="1:15" ht="15" hidden="1" x14ac:dyDescent="0.25">
      <c r="A48" s="2">
        <f t="shared" si="10"/>
        <v>0.18500000000000008</v>
      </c>
      <c r="B48" s="2">
        <f t="shared" si="0"/>
        <v>653.15</v>
      </c>
      <c r="C48" s="2">
        <f t="shared" si="1"/>
        <v>1.1638453314326442</v>
      </c>
      <c r="D48" s="2">
        <f t="shared" si="2"/>
        <v>-0.24914755718456286</v>
      </c>
      <c r="E48" s="2">
        <f t="shared" si="3"/>
        <v>3.7366747987382154E-2</v>
      </c>
      <c r="F48" s="2">
        <f t="shared" si="4"/>
        <v>0.27800000000000002</v>
      </c>
      <c r="G48" s="2">
        <f t="shared" si="5"/>
        <v>-2.0745038336050014E-4</v>
      </c>
      <c r="H48" s="2">
        <f t="shared" si="6"/>
        <v>0.90067361298732684</v>
      </c>
      <c r="I48" s="2">
        <f t="shared" si="7"/>
        <v>2.8036601552034451E-3</v>
      </c>
      <c r="J48" s="2">
        <f t="shared" si="8"/>
        <v>0.70727844276353413</v>
      </c>
      <c r="K48" s="2">
        <f t="shared" si="11"/>
        <v>22.402665285439717</v>
      </c>
      <c r="L48" s="2">
        <f t="shared" si="9"/>
        <v>0.78527718872284313</v>
      </c>
      <c r="M48" s="2">
        <f t="shared" si="12"/>
        <v>24.873233724628882</v>
      </c>
      <c r="N48" s="1"/>
      <c r="O48" s="1"/>
    </row>
    <row r="49" spans="1:15" ht="15" hidden="1" x14ac:dyDescent="0.25">
      <c r="A49" s="2">
        <f t="shared" si="10"/>
        <v>0.19000000000000009</v>
      </c>
      <c r="B49" s="2">
        <f t="shared" si="0"/>
        <v>653.15</v>
      </c>
      <c r="C49" s="2">
        <f t="shared" si="1"/>
        <v>1.1638453314326442</v>
      </c>
      <c r="D49" s="2">
        <f t="shared" si="2"/>
        <v>-0.24914755718456286</v>
      </c>
      <c r="E49" s="2">
        <f t="shared" si="3"/>
        <v>3.7366747987382154E-2</v>
      </c>
      <c r="F49" s="2">
        <f t="shared" si="4"/>
        <v>0.27800000000000002</v>
      </c>
      <c r="G49" s="2">
        <f t="shared" si="5"/>
        <v>-2.0745038336050014E-4</v>
      </c>
      <c r="H49" s="2">
        <f t="shared" si="6"/>
        <v>0.90067361298732684</v>
      </c>
      <c r="I49" s="2">
        <f t="shared" si="7"/>
        <v>2.8036601552034451E-3</v>
      </c>
      <c r="J49" s="2">
        <f t="shared" si="8"/>
        <v>0.71464707789155979</v>
      </c>
      <c r="K49" s="2">
        <f t="shared" si="11"/>
        <v>23.117312363331276</v>
      </c>
      <c r="L49" s="2">
        <f t="shared" si="9"/>
        <v>0.79345843775886826</v>
      </c>
      <c r="M49" s="2">
        <f t="shared" si="12"/>
        <v>25.666692162387751</v>
      </c>
      <c r="N49" s="1"/>
      <c r="O49" s="1"/>
    </row>
    <row r="50" spans="1:15" ht="15" hidden="1" x14ac:dyDescent="0.25">
      <c r="A50" s="2">
        <f t="shared" si="10"/>
        <v>0.19500000000000009</v>
      </c>
      <c r="B50" s="2">
        <f t="shared" si="0"/>
        <v>653.15</v>
      </c>
      <c r="C50" s="2">
        <f t="shared" si="1"/>
        <v>1.1638453314326442</v>
      </c>
      <c r="D50" s="2">
        <f t="shared" si="2"/>
        <v>-0.24914755718456286</v>
      </c>
      <c r="E50" s="2">
        <f t="shared" si="3"/>
        <v>3.7366747987382154E-2</v>
      </c>
      <c r="F50" s="2">
        <f t="shared" si="4"/>
        <v>0.27800000000000002</v>
      </c>
      <c r="G50" s="2">
        <f t="shared" si="5"/>
        <v>-2.0745038336050014E-4</v>
      </c>
      <c r="H50" s="2">
        <f t="shared" si="6"/>
        <v>0.90067361298732684</v>
      </c>
      <c r="I50" s="2">
        <f t="shared" si="7"/>
        <v>2.8036601552034451E-3</v>
      </c>
      <c r="J50" s="2">
        <f t="shared" si="8"/>
        <v>0.72210724885968502</v>
      </c>
      <c r="K50" s="2">
        <f t="shared" si="11"/>
        <v>23.839419612190962</v>
      </c>
      <c r="L50" s="2">
        <f t="shared" si="9"/>
        <v>0.8017413172177007</v>
      </c>
      <c r="M50" s="2">
        <f t="shared" si="12"/>
        <v>26.468433479605451</v>
      </c>
      <c r="N50" s="1"/>
      <c r="O50" s="1"/>
    </row>
    <row r="51" spans="1:15" ht="15" hidden="1" x14ac:dyDescent="0.25">
      <c r="A51" s="2">
        <f t="shared" si="10"/>
        <v>0.20000000000000009</v>
      </c>
      <c r="B51" s="2">
        <f t="shared" si="0"/>
        <v>653.15</v>
      </c>
      <c r="C51" s="2">
        <f t="shared" si="1"/>
        <v>1.1638453314326442</v>
      </c>
      <c r="D51" s="2">
        <f t="shared" si="2"/>
        <v>-0.24914755718456286</v>
      </c>
      <c r="E51" s="2">
        <f t="shared" si="3"/>
        <v>3.7366747987382154E-2</v>
      </c>
      <c r="F51" s="2">
        <f t="shared" si="4"/>
        <v>0.27800000000000002</v>
      </c>
      <c r="G51" s="2">
        <f t="shared" si="5"/>
        <v>-2.0745038336050014E-4</v>
      </c>
      <c r="H51" s="2">
        <f t="shared" si="6"/>
        <v>0.90067361298732684</v>
      </c>
      <c r="I51" s="2">
        <f t="shared" si="7"/>
        <v>2.8036601552034451E-3</v>
      </c>
      <c r="J51" s="2">
        <f t="shared" si="8"/>
        <v>0.7296606719649118</v>
      </c>
      <c r="K51" s="2">
        <f t="shared" si="11"/>
        <v>24.569080284155874</v>
      </c>
      <c r="L51" s="2">
        <f t="shared" si="9"/>
        <v>0.81012773266976879</v>
      </c>
      <c r="M51" s="2">
        <f t="shared" si="12"/>
        <v>27.278561212275221</v>
      </c>
      <c r="N51" s="1"/>
      <c r="O51" s="1"/>
    </row>
    <row r="52" spans="1:15" ht="15" hidden="1" x14ac:dyDescent="0.25">
      <c r="A52" s="2">
        <f t="shared" si="10"/>
        <v>0.2050000000000001</v>
      </c>
      <c r="B52" s="2">
        <f t="shared" si="0"/>
        <v>653.15</v>
      </c>
      <c r="C52" s="2">
        <f t="shared" si="1"/>
        <v>1.1638453314326442</v>
      </c>
      <c r="D52" s="2">
        <f t="shared" si="2"/>
        <v>-0.24914755718456286</v>
      </c>
      <c r="E52" s="2">
        <f t="shared" si="3"/>
        <v>3.7366747987382154E-2</v>
      </c>
      <c r="F52" s="2">
        <f t="shared" si="4"/>
        <v>0.27800000000000002</v>
      </c>
      <c r="G52" s="2">
        <f t="shared" si="5"/>
        <v>-2.0745038336050014E-4</v>
      </c>
      <c r="H52" s="2">
        <f t="shared" si="6"/>
        <v>0.90067361298732684</v>
      </c>
      <c r="I52" s="2">
        <f t="shared" si="7"/>
        <v>2.8036601552034451E-3</v>
      </c>
      <c r="J52" s="2">
        <f t="shared" si="8"/>
        <v>0.73730910668152516</v>
      </c>
      <c r="K52" s="2">
        <f t="shared" si="11"/>
        <v>25.306389390837399</v>
      </c>
      <c r="L52" s="2">
        <f t="shared" si="9"/>
        <v>0.81861963762437839</v>
      </c>
      <c r="M52" s="2">
        <f t="shared" si="12"/>
        <v>28.097180849899601</v>
      </c>
      <c r="N52" s="1"/>
      <c r="O52" s="1"/>
    </row>
    <row r="53" spans="1:15" ht="15" hidden="1" x14ac:dyDescent="0.25">
      <c r="A53" s="2">
        <f t="shared" si="10"/>
        <v>0.2100000000000001</v>
      </c>
      <c r="B53" s="2">
        <f t="shared" si="0"/>
        <v>653.15</v>
      </c>
      <c r="C53" s="2">
        <f t="shared" si="1"/>
        <v>1.1638453314326442</v>
      </c>
      <c r="D53" s="2">
        <f t="shared" si="2"/>
        <v>-0.24914755718456286</v>
      </c>
      <c r="E53" s="2">
        <f t="shared" si="3"/>
        <v>3.7366747987382154E-2</v>
      </c>
      <c r="F53" s="2">
        <f t="shared" si="4"/>
        <v>0.27800000000000002</v>
      </c>
      <c r="G53" s="2">
        <f t="shared" si="5"/>
        <v>-2.0745038336050014E-4</v>
      </c>
      <c r="H53" s="2">
        <f t="shared" si="6"/>
        <v>0.90067361298732684</v>
      </c>
      <c r="I53" s="2">
        <f t="shared" si="7"/>
        <v>2.8036601552034451E-3</v>
      </c>
      <c r="J53" s="2">
        <f t="shared" si="8"/>
        <v>0.74505435702746281</v>
      </c>
      <c r="K53" s="2">
        <f t="shared" si="11"/>
        <v>26.051443747864862</v>
      </c>
      <c r="L53" s="2">
        <f t="shared" si="9"/>
        <v>0.82721903504676808</v>
      </c>
      <c r="M53" s="2">
        <f t="shared" si="12"/>
        <v>28.924399884946368</v>
      </c>
      <c r="N53" s="1"/>
      <c r="O53" s="1"/>
    </row>
    <row r="54" spans="1:15" ht="15" hidden="1" x14ac:dyDescent="0.25">
      <c r="A54" s="2">
        <f t="shared" si="10"/>
        <v>0.21500000000000011</v>
      </c>
      <c r="B54" s="2">
        <f t="shared" si="0"/>
        <v>653.15</v>
      </c>
      <c r="C54" s="2">
        <f t="shared" si="1"/>
        <v>1.1638453314326442</v>
      </c>
      <c r="D54" s="2">
        <f t="shared" si="2"/>
        <v>-0.24914755718456286</v>
      </c>
      <c r="E54" s="2">
        <f t="shared" si="3"/>
        <v>3.7366747987382154E-2</v>
      </c>
      <c r="F54" s="2">
        <f t="shared" si="4"/>
        <v>0.27800000000000002</v>
      </c>
      <c r="G54" s="2">
        <f t="shared" si="5"/>
        <v>-2.0745038336050014E-4</v>
      </c>
      <c r="H54" s="2">
        <f t="shared" si="6"/>
        <v>0.90067361298732684</v>
      </c>
      <c r="I54" s="2">
        <f t="shared" si="7"/>
        <v>2.8036601552034451E-3</v>
      </c>
      <c r="J54" s="2">
        <f t="shared" si="8"/>
        <v>0.75289827298290279</v>
      </c>
      <c r="K54" s="2">
        <f t="shared" si="11"/>
        <v>26.804342020847766</v>
      </c>
      <c r="L54" s="2">
        <f t="shared" si="9"/>
        <v>0.83592797893313719</v>
      </c>
      <c r="M54" s="2">
        <f t="shared" si="12"/>
        <v>29.760327863879507</v>
      </c>
      <c r="N54" s="1"/>
      <c r="O54" s="1"/>
    </row>
    <row r="55" spans="1:15" ht="15" hidden="1" x14ac:dyDescent="0.25">
      <c r="A55" s="2">
        <f t="shared" si="10"/>
        <v>0.22000000000000011</v>
      </c>
      <c r="B55" s="2">
        <f t="shared" si="0"/>
        <v>653.15</v>
      </c>
      <c r="C55" s="2">
        <f t="shared" si="1"/>
        <v>1.1638453314326442</v>
      </c>
      <c r="D55" s="2">
        <f t="shared" si="2"/>
        <v>-0.24914755718456286</v>
      </c>
      <c r="E55" s="2">
        <f t="shared" si="3"/>
        <v>3.7366747987382154E-2</v>
      </c>
      <c r="F55" s="2">
        <f t="shared" si="4"/>
        <v>0.27800000000000002</v>
      </c>
      <c r="G55" s="2">
        <f t="shared" si="5"/>
        <v>-2.0745038336050014E-4</v>
      </c>
      <c r="H55" s="2">
        <f t="shared" si="6"/>
        <v>0.90067361298732684</v>
      </c>
      <c r="I55" s="2">
        <f t="shared" si="7"/>
        <v>2.8036601552034451E-3</v>
      </c>
      <c r="J55" s="2">
        <f t="shared" si="8"/>
        <v>0.76084275196341256</v>
      </c>
      <c r="K55" s="2">
        <f t="shared" si="11"/>
        <v>27.565184772811179</v>
      </c>
      <c r="L55" s="2">
        <f t="shared" si="9"/>
        <v>0.84474857594625474</v>
      </c>
      <c r="M55" s="2">
        <f t="shared" si="12"/>
        <v>30.605076439825762</v>
      </c>
      <c r="N55" s="1"/>
      <c r="O55" s="1"/>
    </row>
    <row r="56" spans="1:15" ht="15" hidden="1" x14ac:dyDescent="0.25">
      <c r="A56" s="2">
        <f t="shared" si="10"/>
        <v>0.22500000000000012</v>
      </c>
      <c r="B56" s="2">
        <f t="shared" si="0"/>
        <v>653.15</v>
      </c>
      <c r="C56" s="2">
        <f t="shared" si="1"/>
        <v>1.1638453314326442</v>
      </c>
      <c r="D56" s="2">
        <f t="shared" si="2"/>
        <v>-0.24914755718456286</v>
      </c>
      <c r="E56" s="2">
        <f t="shared" si="3"/>
        <v>3.7366747987382154E-2</v>
      </c>
      <c r="F56" s="2">
        <f t="shared" si="4"/>
        <v>0.27800000000000002</v>
      </c>
      <c r="G56" s="2">
        <f t="shared" si="5"/>
        <v>-2.0745038336050014E-4</v>
      </c>
      <c r="H56" s="2">
        <f t="shared" si="6"/>
        <v>0.90067361298732684</v>
      </c>
      <c r="I56" s="2">
        <f t="shared" si="7"/>
        <v>2.8036601552034451E-3</v>
      </c>
      <c r="J56" s="2">
        <f t="shared" si="8"/>
        <v>0.76888974035012225</v>
      </c>
      <c r="K56" s="2">
        <f t="shared" si="11"/>
        <v>28.334074513161301</v>
      </c>
      <c r="L56" s="2">
        <f t="shared" si="9"/>
        <v>0.85368298711438007</v>
      </c>
      <c r="M56" s="2">
        <f t="shared" si="12"/>
        <v>31.458759426940141</v>
      </c>
      <c r="N56" s="1"/>
      <c r="O56" s="1"/>
    </row>
    <row r="57" spans="1:15" ht="15" hidden="1" x14ac:dyDescent="0.25">
      <c r="A57" s="2">
        <f t="shared" si="10"/>
        <v>0.23000000000000012</v>
      </c>
      <c r="B57" s="2">
        <f t="shared" si="0"/>
        <v>653.15</v>
      </c>
      <c r="C57" s="2">
        <f t="shared" si="1"/>
        <v>1.1638453314326442</v>
      </c>
      <c r="D57" s="2">
        <f t="shared" si="2"/>
        <v>-0.24914755718456286</v>
      </c>
      <c r="E57" s="2">
        <f t="shared" si="3"/>
        <v>3.7366747987382154E-2</v>
      </c>
      <c r="F57" s="2">
        <f t="shared" si="4"/>
        <v>0.27800000000000002</v>
      </c>
      <c r="G57" s="2">
        <f t="shared" si="5"/>
        <v>-2.0745038336050014E-4</v>
      </c>
      <c r="H57" s="2">
        <f t="shared" si="6"/>
        <v>0.90067361298732684</v>
      </c>
      <c r="I57" s="2">
        <f t="shared" si="7"/>
        <v>2.8036601552034451E-3</v>
      </c>
      <c r="J57" s="2">
        <f t="shared" si="8"/>
        <v>0.7770412350795165</v>
      </c>
      <c r="K57" s="2">
        <f t="shared" si="11"/>
        <v>29.111115748240817</v>
      </c>
      <c r="L57" s="2">
        <f t="shared" si="9"/>
        <v>0.862733429596377</v>
      </c>
      <c r="M57" s="2">
        <f t="shared" si="12"/>
        <v>32.321492856536516</v>
      </c>
      <c r="N57" s="1"/>
      <c r="O57" s="1"/>
    </row>
    <row r="58" spans="1:15" ht="15" hidden="1" x14ac:dyDescent="0.25">
      <c r="A58" s="2">
        <f t="shared" si="10"/>
        <v>0.23500000000000013</v>
      </c>
      <c r="B58" s="2">
        <f t="shared" si="0"/>
        <v>653.15</v>
      </c>
      <c r="C58" s="2">
        <f t="shared" si="1"/>
        <v>1.1638453314326442</v>
      </c>
      <c r="D58" s="2">
        <f t="shared" si="2"/>
        <v>-0.24914755718456286</v>
      </c>
      <c r="E58" s="2">
        <f t="shared" si="3"/>
        <v>3.7366747987382154E-2</v>
      </c>
      <c r="F58" s="2">
        <f t="shared" si="4"/>
        <v>0.27800000000000002</v>
      </c>
      <c r="G58" s="2">
        <f t="shared" si="5"/>
        <v>-2.0745038336050014E-4</v>
      </c>
      <c r="H58" s="2">
        <f t="shared" si="6"/>
        <v>0.90067361298732684</v>
      </c>
      <c r="I58" s="2">
        <f t="shared" si="7"/>
        <v>2.8036601552034451E-3</v>
      </c>
      <c r="J58" s="2">
        <f t="shared" si="8"/>
        <v>0.78529928529556969</v>
      </c>
      <c r="K58" s="2">
        <f t="shared" si="11"/>
        <v>29.896415033536385</v>
      </c>
      <c r="L58" s="2">
        <f t="shared" si="9"/>
        <v>0.87190217851604734</v>
      </c>
      <c r="M58" s="2">
        <f t="shared" si="12"/>
        <v>33.193395035052561</v>
      </c>
      <c r="N58" s="1"/>
      <c r="O58" s="1"/>
    </row>
    <row r="59" spans="1:15" ht="15" hidden="1" x14ac:dyDescent="0.25">
      <c r="A59" s="2">
        <f t="shared" si="10"/>
        <v>0.24000000000000013</v>
      </c>
      <c r="B59" s="2">
        <f t="shared" si="0"/>
        <v>653.15</v>
      </c>
      <c r="C59" s="2">
        <f t="shared" si="1"/>
        <v>1.1638453314326442</v>
      </c>
      <c r="D59" s="2">
        <f t="shared" si="2"/>
        <v>-0.24914755718456286</v>
      </c>
      <c r="E59" s="2">
        <f t="shared" si="3"/>
        <v>3.7366747987382154E-2</v>
      </c>
      <c r="F59" s="2">
        <f t="shared" si="4"/>
        <v>0.27800000000000002</v>
      </c>
      <c r="G59" s="2">
        <f t="shared" si="5"/>
        <v>-2.0745038336050014E-4</v>
      </c>
      <c r="H59" s="2">
        <f t="shared" si="6"/>
        <v>0.90067361298732684</v>
      </c>
      <c r="I59" s="2">
        <f t="shared" si="7"/>
        <v>2.8036601552034451E-3</v>
      </c>
      <c r="J59" s="2">
        <f t="shared" si="8"/>
        <v>0.79366599406709715</v>
      </c>
      <c r="K59" s="2">
        <f t="shared" si="11"/>
        <v>30.690081027603483</v>
      </c>
      <c r="L59" s="2">
        <f t="shared" si="9"/>
        <v>0.88119156886887129</v>
      </c>
      <c r="M59" s="2">
        <f t="shared" si="12"/>
        <v>34.074586603921432</v>
      </c>
      <c r="N59" s="1"/>
      <c r="O59" s="1"/>
    </row>
    <row r="60" spans="1:15" ht="15" hidden="1" x14ac:dyDescent="0.25">
      <c r="A60" s="2">
        <f t="shared" si="10"/>
        <v>0.24500000000000013</v>
      </c>
      <c r="B60" s="2">
        <f t="shared" si="0"/>
        <v>653.15</v>
      </c>
      <c r="C60" s="2">
        <f t="shared" si="1"/>
        <v>1.1638453314326442</v>
      </c>
      <c r="D60" s="2">
        <f t="shared" si="2"/>
        <v>-0.24914755718456286</v>
      </c>
      <c r="E60" s="2">
        <f t="shared" si="3"/>
        <v>3.7366747987382154E-2</v>
      </c>
      <c r="F60" s="2">
        <f t="shared" si="4"/>
        <v>0.27800000000000002</v>
      </c>
      <c r="G60" s="2">
        <f t="shared" si="5"/>
        <v>-2.0745038336050014E-4</v>
      </c>
      <c r="H60" s="2">
        <f t="shared" si="6"/>
        <v>0.90067361298732684</v>
      </c>
      <c r="I60" s="2">
        <f t="shared" si="7"/>
        <v>2.8036601552034451E-3</v>
      </c>
      <c r="J60" s="2">
        <f t="shared" si="8"/>
        <v>0.80214352017334689</v>
      </c>
      <c r="K60" s="2">
        <f t="shared" si="11"/>
        <v>31.492224547776829</v>
      </c>
      <c r="L60" s="2">
        <f t="shared" si="9"/>
        <v>0.89060399750451402</v>
      </c>
      <c r="M60" s="2">
        <f t="shared" si="12"/>
        <v>34.965190601425945</v>
      </c>
      <c r="N60" s="1"/>
      <c r="O60" s="1"/>
    </row>
    <row r="61" spans="1:15" ht="15" hidden="1" x14ac:dyDescent="0.25">
      <c r="A61" s="2">
        <f t="shared" si="10"/>
        <v>0.25000000000000011</v>
      </c>
      <c r="B61" s="2">
        <f t="shared" si="0"/>
        <v>653.15</v>
      </c>
      <c r="C61" s="2">
        <f t="shared" si="1"/>
        <v>1.1638453314326442</v>
      </c>
      <c r="D61" s="2">
        <f t="shared" si="2"/>
        <v>-0.24914755718456286</v>
      </c>
      <c r="E61" s="2">
        <f t="shared" si="3"/>
        <v>3.7366747987382154E-2</v>
      </c>
      <c r="F61" s="2">
        <f t="shared" si="4"/>
        <v>0.27800000000000002</v>
      </c>
      <c r="G61" s="2">
        <f t="shared" si="5"/>
        <v>-2.0745038336050014E-4</v>
      </c>
      <c r="H61" s="2">
        <f t="shared" si="6"/>
        <v>0.90067361298732684</v>
      </c>
      <c r="I61" s="2">
        <f t="shared" si="7"/>
        <v>2.8036601552034451E-3</v>
      </c>
      <c r="J61" s="2">
        <f t="shared" si="8"/>
        <v>0.8107340799610131</v>
      </c>
      <c r="K61" s="2">
        <f t="shared" si="11"/>
        <v>32.302958627737844</v>
      </c>
      <c r="L61" s="2">
        <f t="shared" si="9"/>
        <v>0.9001419251886319</v>
      </c>
      <c r="M61" s="2">
        <f t="shared" si="12"/>
        <v>35.86533252661458</v>
      </c>
      <c r="N61" s="1"/>
      <c r="O61" s="1"/>
    </row>
    <row r="62" spans="1:15" ht="15" hidden="1" x14ac:dyDescent="0.25">
      <c r="A62" s="2">
        <f t="shared" si="10"/>
        <v>0.25500000000000012</v>
      </c>
      <c r="B62" s="2">
        <f t="shared" si="0"/>
        <v>653.15</v>
      </c>
      <c r="C62" s="2">
        <f t="shared" si="1"/>
        <v>1.1638453314326442</v>
      </c>
      <c r="D62" s="2">
        <f t="shared" si="2"/>
        <v>-0.24914755718456286</v>
      </c>
      <c r="E62" s="2">
        <f t="shared" si="3"/>
        <v>3.7366747987382154E-2</v>
      </c>
      <c r="F62" s="2">
        <f t="shared" si="4"/>
        <v>0.27800000000000002</v>
      </c>
      <c r="G62" s="2">
        <f t="shared" si="5"/>
        <v>-2.0745038336050014E-4</v>
      </c>
      <c r="H62" s="2">
        <f t="shared" si="6"/>
        <v>0.90067361298732684</v>
      </c>
      <c r="I62" s="2">
        <f t="shared" si="7"/>
        <v>2.8036601552034451E-3</v>
      </c>
      <c r="J62" s="2">
        <f t="shared" si="8"/>
        <v>0.81943994927603092</v>
      </c>
      <c r="K62" s="2">
        <f t="shared" si="11"/>
        <v>33.122398577013875</v>
      </c>
      <c r="L62" s="2">
        <f t="shared" si="9"/>
        <v>0.90980787874770463</v>
      </c>
      <c r="M62" s="2">
        <f t="shared" si="12"/>
        <v>36.775140405362286</v>
      </c>
      <c r="N62" s="1"/>
      <c r="O62" s="1"/>
    </row>
    <row r="63" spans="1:15" ht="15" hidden="1" x14ac:dyDescent="0.25">
      <c r="A63" s="2">
        <f t="shared" si="10"/>
        <v>0.26000000000000012</v>
      </c>
      <c r="B63" s="2">
        <f t="shared" si="0"/>
        <v>653.15</v>
      </c>
      <c r="C63" s="2">
        <f t="shared" si="1"/>
        <v>1.1638453314326442</v>
      </c>
      <c r="D63" s="2">
        <f t="shared" si="2"/>
        <v>-0.24914755718456286</v>
      </c>
      <c r="E63" s="2">
        <f t="shared" si="3"/>
        <v>3.7366747987382154E-2</v>
      </c>
      <c r="F63" s="2">
        <f t="shared" si="4"/>
        <v>0.27800000000000002</v>
      </c>
      <c r="G63" s="2">
        <f t="shared" si="5"/>
        <v>-2.0745038336050014E-4</v>
      </c>
      <c r="H63" s="2">
        <f t="shared" si="6"/>
        <v>0.90067361298732684</v>
      </c>
      <c r="I63" s="2">
        <f t="shared" si="7"/>
        <v>2.8036601552034451E-3</v>
      </c>
      <c r="J63" s="2">
        <f t="shared" si="8"/>
        <v>0.8282634654736839</v>
      </c>
      <c r="K63" s="2">
        <f t="shared" si="11"/>
        <v>33.950662042487558</v>
      </c>
      <c r="L63" s="2">
        <f t="shared" si="9"/>
        <v>0.91960445330081875</v>
      </c>
      <c r="M63" s="2">
        <f t="shared" si="12"/>
        <v>37.694744858663107</v>
      </c>
      <c r="N63" s="1"/>
      <c r="O63" s="1"/>
    </row>
    <row r="64" spans="1:15" ht="15" hidden="1" x14ac:dyDescent="0.25">
      <c r="A64" s="2">
        <f t="shared" si="10"/>
        <v>0.26500000000000012</v>
      </c>
      <c r="B64" s="2">
        <f t="shared" si="0"/>
        <v>653.15</v>
      </c>
      <c r="C64" s="2">
        <f t="shared" si="1"/>
        <v>1.1638453314326442</v>
      </c>
      <c r="D64" s="2">
        <f t="shared" si="2"/>
        <v>-0.24914755718456286</v>
      </c>
      <c r="E64" s="2">
        <f t="shared" si="3"/>
        <v>3.7366747987382154E-2</v>
      </c>
      <c r="F64" s="2">
        <f t="shared" si="4"/>
        <v>0.27800000000000002</v>
      </c>
      <c r="G64" s="2">
        <f t="shared" si="5"/>
        <v>-2.0745038336050014E-4</v>
      </c>
      <c r="H64" s="2">
        <f t="shared" si="6"/>
        <v>0.90067361298732684</v>
      </c>
      <c r="I64" s="2">
        <f t="shared" si="7"/>
        <v>2.8036601552034451E-3</v>
      </c>
      <c r="J64" s="2">
        <f t="shared" si="8"/>
        <v>0.83720702951076065</v>
      </c>
      <c r="K64" s="2">
        <f t="shared" si="11"/>
        <v>34.787869071998315</v>
      </c>
      <c r="L64" s="2">
        <f t="shared" si="9"/>
        <v>0.92953431458254643</v>
      </c>
      <c r="M64" s="2">
        <f t="shared" si="12"/>
        <v>38.624279173245654</v>
      </c>
      <c r="N64" s="1"/>
      <c r="O64" s="1"/>
    </row>
    <row r="65" spans="1:15" ht="15" hidden="1" x14ac:dyDescent="0.25">
      <c r="A65" s="2">
        <f t="shared" si="10"/>
        <v>0.27000000000000013</v>
      </c>
      <c r="B65" s="2">
        <f t="shared" si="0"/>
        <v>653.15</v>
      </c>
      <c r="C65" s="2">
        <f t="shared" si="1"/>
        <v>1.1638453314326442</v>
      </c>
      <c r="D65" s="2">
        <f t="shared" si="2"/>
        <v>-0.24914755718456286</v>
      </c>
      <c r="E65" s="2">
        <f t="shared" si="3"/>
        <v>3.7366747987382154E-2</v>
      </c>
      <c r="F65" s="2">
        <f t="shared" si="4"/>
        <v>0.27800000000000002</v>
      </c>
      <c r="G65" s="2">
        <f t="shared" si="5"/>
        <v>-2.0745038336050014E-4</v>
      </c>
      <c r="H65" s="2">
        <f t="shared" si="6"/>
        <v>0.90067361298732684</v>
      </c>
      <c r="I65" s="2">
        <f t="shared" si="7"/>
        <v>2.8036601552034451E-3</v>
      </c>
      <c r="J65" s="2">
        <f t="shared" si="8"/>
        <v>0.84627310812368783</v>
      </c>
      <c r="K65" s="2">
        <f t="shared" si="11"/>
        <v>35.634142180122005</v>
      </c>
      <c r="L65" s="2">
        <f t="shared" si="9"/>
        <v>0.93960020136128442</v>
      </c>
      <c r="M65" s="2">
        <f t="shared" si="12"/>
        <v>39.563879374606941</v>
      </c>
      <c r="N65" s="1"/>
      <c r="O65" s="1"/>
    </row>
    <row r="66" spans="1:15" ht="15" hidden="1" x14ac:dyDescent="0.25">
      <c r="A66" s="2">
        <f t="shared" si="10"/>
        <v>0.27500000000000013</v>
      </c>
      <c r="B66" s="2">
        <f t="shared" si="0"/>
        <v>653.15</v>
      </c>
      <c r="C66" s="2">
        <f t="shared" si="1"/>
        <v>1.1638453314326442</v>
      </c>
      <c r="D66" s="2">
        <f t="shared" si="2"/>
        <v>-0.24914755718456286</v>
      </c>
      <c r="E66" s="2">
        <f t="shared" si="3"/>
        <v>3.7366747987382154E-2</v>
      </c>
      <c r="F66" s="2">
        <f t="shared" si="4"/>
        <v>0.27800000000000002</v>
      </c>
      <c r="G66" s="2">
        <f t="shared" si="5"/>
        <v>-2.0745038336050014E-4</v>
      </c>
      <c r="H66" s="2">
        <f t="shared" si="6"/>
        <v>0.90067361298732684</v>
      </c>
      <c r="I66" s="2">
        <f t="shared" si="7"/>
        <v>2.8036601552034451E-3</v>
      </c>
      <c r="J66" s="2">
        <f t="shared" si="8"/>
        <v>0.85546423609679323</v>
      </c>
      <c r="K66" s="2">
        <f t="shared" si="11"/>
        <v>36.489606416218798</v>
      </c>
      <c r="L66" s="2">
        <f t="shared" si="9"/>
        <v>0.94980492795766003</v>
      </c>
      <c r="M66" s="2">
        <f t="shared" si="12"/>
        <v>40.513684302564599</v>
      </c>
      <c r="N66" s="1"/>
      <c r="O66" s="1"/>
    </row>
    <row r="67" spans="1:15" ht="15" hidden="1" x14ac:dyDescent="0.25">
      <c r="A67" s="2">
        <f t="shared" si="10"/>
        <v>0.28000000000000014</v>
      </c>
      <c r="B67" s="2">
        <f t="shared" si="0"/>
        <v>653.15</v>
      </c>
      <c r="C67" s="2">
        <f t="shared" si="1"/>
        <v>1.1638453314326442</v>
      </c>
      <c r="D67" s="2">
        <f t="shared" si="2"/>
        <v>-0.24914755718456286</v>
      </c>
      <c r="E67" s="2">
        <f t="shared" si="3"/>
        <v>3.7366747987382154E-2</v>
      </c>
      <c r="F67" s="2">
        <f t="shared" si="4"/>
        <v>0.27800000000000002</v>
      </c>
      <c r="G67" s="2">
        <f t="shared" si="5"/>
        <v>-2.0745038336050014E-4</v>
      </c>
      <c r="H67" s="2">
        <f t="shared" si="6"/>
        <v>0.90067361298732684</v>
      </c>
      <c r="I67" s="2">
        <f t="shared" si="7"/>
        <v>2.8036601552034451E-3</v>
      </c>
      <c r="J67" s="2">
        <f t="shared" si="8"/>
        <v>0.86478301862508089</v>
      </c>
      <c r="K67" s="2">
        <f t="shared" si="11"/>
        <v>37.354389434843881</v>
      </c>
      <c r="L67" s="2">
        <f t="shared" si="9"/>
        <v>0.96015138686787427</v>
      </c>
      <c r="M67" s="2">
        <f t="shared" si="12"/>
        <v>41.47383568943247</v>
      </c>
      <c r="N67" s="1"/>
      <c r="O67" s="1"/>
    </row>
    <row r="68" spans="1:15" ht="15" hidden="1" x14ac:dyDescent="0.25">
      <c r="A68" s="2">
        <f t="shared" si="10"/>
        <v>0.28500000000000014</v>
      </c>
      <c r="B68" s="2">
        <f t="shared" si="0"/>
        <v>653.15</v>
      </c>
      <c r="C68" s="2">
        <f t="shared" si="1"/>
        <v>1.1638453314326442</v>
      </c>
      <c r="D68" s="2">
        <f t="shared" si="2"/>
        <v>-0.24914755718456286</v>
      </c>
      <c r="E68" s="2">
        <f t="shared" si="3"/>
        <v>3.7366747987382154E-2</v>
      </c>
      <c r="F68" s="2">
        <f t="shared" si="4"/>
        <v>0.27800000000000002</v>
      </c>
      <c r="G68" s="2">
        <f t="shared" si="5"/>
        <v>-2.0745038336050014E-4</v>
      </c>
      <c r="H68" s="2">
        <f t="shared" si="6"/>
        <v>0.90067361298732684</v>
      </c>
      <c r="I68" s="2">
        <f t="shared" si="7"/>
        <v>2.8036601552034451E-3</v>
      </c>
      <c r="J68" s="2">
        <f t="shared" si="8"/>
        <v>0.87423213377614173</v>
      </c>
      <c r="K68" s="2">
        <f t="shared" si="11"/>
        <v>38.228621568620021</v>
      </c>
      <c r="L68" s="2">
        <f t="shared" si="9"/>
        <v>0.97064255149711243</v>
      </c>
      <c r="M68" s="2">
        <f t="shared" si="12"/>
        <v>42.444478240929584</v>
      </c>
      <c r="N68" s="1"/>
      <c r="O68" s="1"/>
    </row>
    <row r="69" spans="1:15" ht="15" hidden="1" x14ac:dyDescent="0.25">
      <c r="A69" s="2">
        <f t="shared" si="10"/>
        <v>0.29000000000000015</v>
      </c>
      <c r="B69" s="2">
        <f t="shared" si="0"/>
        <v>653.15</v>
      </c>
      <c r="C69" s="2">
        <f t="shared" si="1"/>
        <v>1.1638453314326442</v>
      </c>
      <c r="D69" s="2">
        <f t="shared" si="2"/>
        <v>-0.24914755718456286</v>
      </c>
      <c r="E69" s="2">
        <f t="shared" si="3"/>
        <v>3.7366747987382154E-2</v>
      </c>
      <c r="F69" s="2">
        <f t="shared" si="4"/>
        <v>0.27800000000000002</v>
      </c>
      <c r="G69" s="2">
        <f t="shared" si="5"/>
        <v>-2.0745038336050014E-4</v>
      </c>
      <c r="H69" s="2">
        <f t="shared" si="6"/>
        <v>0.90067361298732684</v>
      </c>
      <c r="I69" s="2">
        <f t="shared" si="7"/>
        <v>2.8036601552034451E-3</v>
      </c>
      <c r="J69" s="2">
        <f t="shared" si="8"/>
        <v>0.88381433505609053</v>
      </c>
      <c r="K69" s="2">
        <f t="shared" si="11"/>
        <v>39.112435903676115</v>
      </c>
      <c r="L69" s="2">
        <f t="shared" si="9"/>
        <v>0.98128147900845242</v>
      </c>
      <c r="M69" s="2">
        <f t="shared" si="12"/>
        <v>43.425759719938036</v>
      </c>
      <c r="N69" s="1"/>
      <c r="O69" s="1"/>
    </row>
    <row r="70" spans="1:15" ht="15" hidden="1" x14ac:dyDescent="0.25">
      <c r="A70" s="2">
        <f t="shared" si="10"/>
        <v>0.29500000000000015</v>
      </c>
      <c r="B70" s="2">
        <f t="shared" si="0"/>
        <v>653.15</v>
      </c>
      <c r="C70" s="2">
        <f t="shared" si="1"/>
        <v>1.1638453314326442</v>
      </c>
      <c r="D70" s="2">
        <f t="shared" si="2"/>
        <v>-0.24914755718456286</v>
      </c>
      <c r="E70" s="2">
        <f t="shared" si="3"/>
        <v>3.7366747987382154E-2</v>
      </c>
      <c r="F70" s="2">
        <f t="shared" si="4"/>
        <v>0.27800000000000002</v>
      </c>
      <c r="G70" s="2">
        <f t="shared" si="5"/>
        <v>-2.0745038336050014E-4</v>
      </c>
      <c r="H70" s="2">
        <f t="shared" si="6"/>
        <v>0.90067361298732684</v>
      </c>
      <c r="I70" s="2">
        <f t="shared" si="7"/>
        <v>2.8036601552034451E-3</v>
      </c>
      <c r="J70" s="2">
        <f t="shared" si="8"/>
        <v>0.89353245408469117</v>
      </c>
      <c r="K70" s="2">
        <f t="shared" si="11"/>
        <v>40.005968357760807</v>
      </c>
      <c r="L70" s="2">
        <f t="shared" si="9"/>
        <v>0.9920713132930028</v>
      </c>
      <c r="M70" s="2">
        <f t="shared" si="12"/>
        <v>44.417831033231039</v>
      </c>
      <c r="N70" s="1"/>
      <c r="O70" s="1"/>
    </row>
    <row r="71" spans="1:15" ht="15" hidden="1" x14ac:dyDescent="0.25">
      <c r="A71" s="2">
        <f t="shared" si="10"/>
        <v>0.30000000000000016</v>
      </c>
      <c r="B71" s="2">
        <f t="shared" si="0"/>
        <v>653.15</v>
      </c>
      <c r="C71" s="2">
        <f t="shared" si="1"/>
        <v>1.1638453314326442</v>
      </c>
      <c r="D71" s="2">
        <f t="shared" si="2"/>
        <v>-0.24914755718456286</v>
      </c>
      <c r="E71" s="2">
        <f t="shared" si="3"/>
        <v>3.7366747987382154E-2</v>
      </c>
      <c r="F71" s="2">
        <f t="shared" si="4"/>
        <v>0.27800000000000002</v>
      </c>
      <c r="G71" s="2">
        <f t="shared" si="5"/>
        <v>-2.0745038336050014E-4</v>
      </c>
      <c r="H71" s="2">
        <f t="shared" si="6"/>
        <v>0.90067361298732684</v>
      </c>
      <c r="I71" s="2">
        <f t="shared" si="7"/>
        <v>2.8036601552034451E-3</v>
      </c>
      <c r="J71" s="2">
        <f t="shared" si="8"/>
        <v>0.90338940338512919</v>
      </c>
      <c r="K71" s="2">
        <f t="shared" si="11"/>
        <v>40.909357761145934</v>
      </c>
      <c r="L71" s="2">
        <f t="shared" si="9"/>
        <v>1.0030152880673329</v>
      </c>
      <c r="M71" s="2">
        <f t="shared" si="12"/>
        <v>45.42084632129837</v>
      </c>
      <c r="N71" s="1"/>
      <c r="O71" s="1"/>
    </row>
    <row r="72" spans="1:15" ht="15" hidden="1" x14ac:dyDescent="0.25">
      <c r="A72" s="2">
        <f t="shared" si="10"/>
        <v>0.30500000000000016</v>
      </c>
      <c r="B72" s="2">
        <f t="shared" si="0"/>
        <v>653.15</v>
      </c>
      <c r="C72" s="2">
        <f t="shared" si="1"/>
        <v>1.1638453314326442</v>
      </c>
      <c r="D72" s="2">
        <f t="shared" si="2"/>
        <v>-0.24914755718456286</v>
      </c>
      <c r="E72" s="2">
        <f t="shared" si="3"/>
        <v>3.7366747987382154E-2</v>
      </c>
      <c r="F72" s="2">
        <f t="shared" si="4"/>
        <v>0.27800000000000002</v>
      </c>
      <c r="G72" s="2">
        <f t="shared" si="5"/>
        <v>-2.0745038336050014E-4</v>
      </c>
      <c r="H72" s="2">
        <f t="shared" si="6"/>
        <v>0.90067361298732684</v>
      </c>
      <c r="I72" s="2">
        <f t="shared" si="7"/>
        <v>2.8036601552034451E-3</v>
      </c>
      <c r="J72" s="2">
        <f t="shared" si="8"/>
        <v>0.91338817929420635</v>
      </c>
      <c r="K72" s="2">
        <f t="shared" si="11"/>
        <v>41.822745940440143</v>
      </c>
      <c r="L72" s="2">
        <f t="shared" si="9"/>
        <v>1.0141167301046026</v>
      </c>
      <c r="M72" s="2">
        <f t="shared" si="12"/>
        <v>46.434963051402974</v>
      </c>
      <c r="N72" s="1"/>
      <c r="O72" s="1"/>
    </row>
    <row r="73" spans="1:15" ht="15" hidden="1" x14ac:dyDescent="0.25">
      <c r="A73" s="2">
        <f t="shared" si="10"/>
        <v>0.31000000000000016</v>
      </c>
      <c r="B73" s="2">
        <f t="shared" si="0"/>
        <v>653.15</v>
      </c>
      <c r="C73" s="2">
        <f t="shared" si="1"/>
        <v>1.1638453314326442</v>
      </c>
      <c r="D73" s="2">
        <f t="shared" si="2"/>
        <v>-0.24914755718456286</v>
      </c>
      <c r="E73" s="2">
        <f t="shared" si="3"/>
        <v>3.7366747987382154E-2</v>
      </c>
      <c r="F73" s="2">
        <f t="shared" si="4"/>
        <v>0.27800000000000002</v>
      </c>
      <c r="G73" s="2">
        <f t="shared" si="5"/>
        <v>-2.0745038336050014E-4</v>
      </c>
      <c r="H73" s="2">
        <f t="shared" si="6"/>
        <v>0.90067361298732684</v>
      </c>
      <c r="I73" s="2">
        <f t="shared" si="7"/>
        <v>2.8036601552034451E-3</v>
      </c>
      <c r="J73" s="2">
        <f t="shared" si="8"/>
        <v>0.92353186499906725</v>
      </c>
      <c r="K73" s="2">
        <f t="shared" si="11"/>
        <v>42.746277805439213</v>
      </c>
      <c r="L73" s="2">
        <f t="shared" si="9"/>
        <v>1.0253790626061807</v>
      </c>
      <c r="M73" s="2">
        <f t="shared" si="12"/>
        <v>47.460342114009151</v>
      </c>
      <c r="N73" s="1"/>
      <c r="O73" s="1"/>
    </row>
    <row r="74" spans="1:15" ht="15" hidden="1" x14ac:dyDescent="0.25">
      <c r="A74" s="2">
        <f t="shared" si="10"/>
        <v>0.31500000000000017</v>
      </c>
      <c r="B74" s="2">
        <f t="shared" si="0"/>
        <v>653.15</v>
      </c>
      <c r="C74" s="2">
        <f t="shared" si="1"/>
        <v>1.1638453314326442</v>
      </c>
      <c r="D74" s="2">
        <f t="shared" si="2"/>
        <v>-0.24914755718456286</v>
      </c>
      <c r="E74" s="2">
        <f t="shared" si="3"/>
        <v>3.7366747987382154E-2</v>
      </c>
      <c r="F74" s="2">
        <f t="shared" si="4"/>
        <v>0.27800000000000002</v>
      </c>
      <c r="G74" s="2">
        <f t="shared" si="5"/>
        <v>-2.0745038336050014E-4</v>
      </c>
      <c r="H74" s="2">
        <f t="shared" si="6"/>
        <v>0.90067361298732684</v>
      </c>
      <c r="I74" s="2">
        <f t="shared" si="7"/>
        <v>2.8036601552034451E-3</v>
      </c>
      <c r="J74" s="2">
        <f t="shared" si="8"/>
        <v>0.9338236337069189</v>
      </c>
      <c r="K74" s="2">
        <f t="shared" si="11"/>
        <v>43.680101439146135</v>
      </c>
      <c r="L74" s="2">
        <f t="shared" si="9"/>
        <v>1.0368058087209209</v>
      </c>
      <c r="M74" s="2">
        <f t="shared" si="12"/>
        <v>48.497147922730072</v>
      </c>
      <c r="N74" s="1"/>
      <c r="O74" s="1"/>
    </row>
    <row r="75" spans="1:15" ht="15" hidden="1" x14ac:dyDescent="0.25">
      <c r="A75" s="2">
        <f t="shared" si="10"/>
        <v>0.32000000000000017</v>
      </c>
      <c r="B75" s="2">
        <f t="shared" si="0"/>
        <v>653.15</v>
      </c>
      <c r="C75" s="2">
        <f t="shared" si="1"/>
        <v>1.1638453314326442</v>
      </c>
      <c r="D75" s="2">
        <f t="shared" si="2"/>
        <v>-0.24914755718456286</v>
      </c>
      <c r="E75" s="2">
        <f t="shared" si="3"/>
        <v>3.7366747987382154E-2</v>
      </c>
      <c r="F75" s="2">
        <f t="shared" si="4"/>
        <v>0.27800000000000002</v>
      </c>
      <c r="G75" s="2">
        <f t="shared" si="5"/>
        <v>-2.0745038336050014E-4</v>
      </c>
      <c r="H75" s="2">
        <f t="shared" si="6"/>
        <v>0.90067361298732684</v>
      </c>
      <c r="I75" s="2">
        <f t="shared" si="7"/>
        <v>2.8036601552034451E-3</v>
      </c>
      <c r="J75" s="2">
        <f t="shared" si="8"/>
        <v>0.94426675195459209</v>
      </c>
      <c r="K75" s="2">
        <f t="shared" si="11"/>
        <v>44.624368191100729</v>
      </c>
      <c r="L75" s="2">
        <f t="shared" si="9"/>
        <v>1.0484005952197009</v>
      </c>
      <c r="M75" s="2">
        <f t="shared" si="12"/>
        <v>49.545548517949776</v>
      </c>
      <c r="N75" s="1"/>
      <c r="O75" s="1"/>
    </row>
    <row r="76" spans="1:15" ht="15" hidden="1" x14ac:dyDescent="0.25">
      <c r="A76" s="2">
        <f t="shared" si="10"/>
        <v>0.32500000000000018</v>
      </c>
      <c r="B76" s="2">
        <f t="shared" si="0"/>
        <v>653.15</v>
      </c>
      <c r="C76" s="2">
        <f t="shared" si="1"/>
        <v>1.1638453314326442</v>
      </c>
      <c r="D76" s="2">
        <f t="shared" si="2"/>
        <v>-0.24914755718456286</v>
      </c>
      <c r="E76" s="2">
        <f t="shared" si="3"/>
        <v>3.7366747987382154E-2</v>
      </c>
      <c r="F76" s="2">
        <f t="shared" si="4"/>
        <v>0.27800000000000002</v>
      </c>
      <c r="G76" s="2">
        <f t="shared" si="5"/>
        <v>-2.0745038336050014E-4</v>
      </c>
      <c r="H76" s="2">
        <f t="shared" si="6"/>
        <v>0.90067361298732684</v>
      </c>
      <c r="I76" s="2">
        <f t="shared" si="7"/>
        <v>2.8036601552034451E-3</v>
      </c>
      <c r="J76" s="2">
        <f t="shared" si="8"/>
        <v>0.95486458306519351</v>
      </c>
      <c r="K76" s="2">
        <f t="shared" si="11"/>
        <v>45.579232774165924</v>
      </c>
      <c r="L76" s="2">
        <f t="shared" si="9"/>
        <v>1.0601671563332777</v>
      </c>
      <c r="M76" s="2">
        <f t="shared" si="12"/>
        <v>50.605715674283054</v>
      </c>
      <c r="N76" s="1"/>
      <c r="O76" s="1"/>
    </row>
    <row r="77" spans="1:15" ht="15" hidden="1" x14ac:dyDescent="0.25">
      <c r="A77" s="2">
        <f t="shared" si="10"/>
        <v>0.33000000000000018</v>
      </c>
      <c r="B77" s="2">
        <f t="shared" si="0"/>
        <v>653.15</v>
      </c>
      <c r="C77" s="2">
        <f t="shared" si="1"/>
        <v>1.1638453314326442</v>
      </c>
      <c r="D77" s="2">
        <f t="shared" si="2"/>
        <v>-0.24914755718456286</v>
      </c>
      <c r="E77" s="2">
        <f t="shared" si="3"/>
        <v>3.7366747987382154E-2</v>
      </c>
      <c r="F77" s="2">
        <f t="shared" si="4"/>
        <v>0.27800000000000002</v>
      </c>
      <c r="G77" s="2">
        <f t="shared" si="5"/>
        <v>-2.0745038336050014E-4</v>
      </c>
      <c r="H77" s="2">
        <f t="shared" si="6"/>
        <v>0.90067361298732684</v>
      </c>
      <c r="I77" s="2">
        <f t="shared" si="7"/>
        <v>2.8036601552034451E-3</v>
      </c>
      <c r="J77" s="2">
        <f t="shared" si="8"/>
        <v>0.96562059075953532</v>
      </c>
      <c r="K77" s="2">
        <f t="shared" si="11"/>
        <v>46.544853364925459</v>
      </c>
      <c r="L77" s="2">
        <f t="shared" si="9"/>
        <v>1.0721093377619826</v>
      </c>
      <c r="M77" s="2">
        <f t="shared" si="12"/>
        <v>51.677825012045034</v>
      </c>
      <c r="N77" s="1"/>
      <c r="O77" s="1"/>
    </row>
    <row r="78" spans="1:15" ht="15" hidden="1" x14ac:dyDescent="0.25">
      <c r="A78" s="2">
        <f t="shared" si="10"/>
        <v>0.33500000000000019</v>
      </c>
      <c r="B78" s="2">
        <f t="shared" si="0"/>
        <v>653.15</v>
      </c>
      <c r="C78" s="2">
        <f t="shared" si="1"/>
        <v>1.1638453314326442</v>
      </c>
      <c r="D78" s="2">
        <f t="shared" si="2"/>
        <v>-0.24914755718456286</v>
      </c>
      <c r="E78" s="2">
        <f t="shared" si="3"/>
        <v>3.7366747987382154E-2</v>
      </c>
      <c r="F78" s="2">
        <f t="shared" si="4"/>
        <v>0.27800000000000002</v>
      </c>
      <c r="G78" s="2">
        <f t="shared" si="5"/>
        <v>-2.0745038336050014E-4</v>
      </c>
      <c r="H78" s="2">
        <f t="shared" si="6"/>
        <v>0.90067361298732684</v>
      </c>
      <c r="I78" s="2">
        <f t="shared" si="7"/>
        <v>2.8036601552034451E-3</v>
      </c>
      <c r="J78" s="2">
        <f t="shared" si="8"/>
        <v>0.97653834293048392</v>
      </c>
      <c r="K78" s="2">
        <f t="shared" si="11"/>
        <v>47.52139170785594</v>
      </c>
      <c r="L78" s="2">
        <f t="shared" si="9"/>
        <v>1.0842311008663073</v>
      </c>
      <c r="M78" s="2">
        <f t="shared" si="12"/>
        <v>52.762056112911338</v>
      </c>
      <c r="N78" s="1"/>
      <c r="O78" s="1"/>
    </row>
    <row r="79" spans="1:15" ht="15" hidden="1" x14ac:dyDescent="0.25">
      <c r="A79" s="2">
        <f t="shared" si="10"/>
        <v>0.34000000000000019</v>
      </c>
      <c r="B79" s="2">
        <f t="shared" si="0"/>
        <v>653.15</v>
      </c>
      <c r="C79" s="2">
        <f t="shared" si="1"/>
        <v>1.1638453314326442</v>
      </c>
      <c r="D79" s="2">
        <f t="shared" si="2"/>
        <v>-0.24914755718456286</v>
      </c>
      <c r="E79" s="2">
        <f t="shared" si="3"/>
        <v>3.7366747987382154E-2</v>
      </c>
      <c r="F79" s="2">
        <f t="shared" si="4"/>
        <v>0.27800000000000002</v>
      </c>
      <c r="G79" s="2">
        <f t="shared" si="5"/>
        <v>-2.0745038336050014E-4</v>
      </c>
      <c r="H79" s="2">
        <f t="shared" si="6"/>
        <v>0.90067361298732684</v>
      </c>
      <c r="I79" s="2">
        <f t="shared" si="7"/>
        <v>2.8036601552034451E-3</v>
      </c>
      <c r="J79" s="2">
        <f t="shared" si="8"/>
        <v>0.98762151558887101</v>
      </c>
      <c r="K79" s="2">
        <f t="shared" si="11"/>
        <v>48.509013223444811</v>
      </c>
      <c r="L79" s="2">
        <f t="shared" si="9"/>
        <v>1.0965365270479701</v>
      </c>
      <c r="M79" s="2">
        <f t="shared" si="12"/>
        <v>53.858592639959312</v>
      </c>
      <c r="N79" s="1"/>
      <c r="O79" s="1"/>
    </row>
    <row r="80" spans="1:15" ht="15" hidden="1" x14ac:dyDescent="0.25">
      <c r="A80" s="2">
        <f t="shared" si="10"/>
        <v>0.3450000000000002</v>
      </c>
      <c r="B80" s="2">
        <f t="shared" si="0"/>
        <v>653.15</v>
      </c>
      <c r="C80" s="2">
        <f t="shared" si="1"/>
        <v>1.1638453314326442</v>
      </c>
      <c r="D80" s="2">
        <f t="shared" si="2"/>
        <v>-0.24914755718456286</v>
      </c>
      <c r="E80" s="2">
        <f t="shared" si="3"/>
        <v>3.7366747987382154E-2</v>
      </c>
      <c r="F80" s="2">
        <f t="shared" si="4"/>
        <v>0.27800000000000002</v>
      </c>
      <c r="G80" s="2">
        <f t="shared" si="5"/>
        <v>-2.0745038336050014E-4</v>
      </c>
      <c r="H80" s="2">
        <f t="shared" si="6"/>
        <v>0.90067361298732684</v>
      </c>
      <c r="I80" s="2">
        <f t="shared" si="7"/>
        <v>2.8036601552034451E-3</v>
      </c>
      <c r="J80" s="2">
        <f t="shared" si="8"/>
        <v>0.99887389699013418</v>
      </c>
      <c r="K80" s="2">
        <f t="shared" si="11"/>
        <v>49.507887120434944</v>
      </c>
      <c r="L80" s="2">
        <f t="shared" si="9"/>
        <v>1.109029822331643</v>
      </c>
      <c r="M80" s="2">
        <f t="shared" si="12"/>
        <v>54.967622462290954</v>
      </c>
      <c r="N80" s="1"/>
      <c r="O80" s="1"/>
    </row>
    <row r="81" spans="1:15" ht="15" hidden="1" x14ac:dyDescent="0.25">
      <c r="A81" s="2">
        <f t="shared" si="10"/>
        <v>0.3500000000000002</v>
      </c>
      <c r="B81" s="2">
        <f t="shared" si="0"/>
        <v>653.15</v>
      </c>
      <c r="C81" s="2">
        <f t="shared" si="1"/>
        <v>1.1638453314326442</v>
      </c>
      <c r="D81" s="2">
        <f t="shared" si="2"/>
        <v>-0.24914755718456286</v>
      </c>
      <c r="E81" s="2">
        <f t="shared" si="3"/>
        <v>3.7366747987382154E-2</v>
      </c>
      <c r="F81" s="2">
        <f t="shared" si="4"/>
        <v>0.27800000000000002</v>
      </c>
      <c r="G81" s="2">
        <f t="shared" si="5"/>
        <v>-2.0745038336050014E-4</v>
      </c>
      <c r="H81" s="2">
        <f t="shared" si="6"/>
        <v>0.90067361298732684</v>
      </c>
      <c r="I81" s="2">
        <f t="shared" si="7"/>
        <v>2.8036601552034451E-3</v>
      </c>
      <c r="J81" s="2">
        <f t="shared" si="8"/>
        <v>1.0102993919514167</v>
      </c>
      <c r="K81" s="2">
        <f t="shared" si="11"/>
        <v>50.518186512386357</v>
      </c>
      <c r="L81" s="2">
        <f t="shared" si="9"/>
        <v>1.1217153221581415</v>
      </c>
      <c r="M81" s="2">
        <f t="shared" si="12"/>
        <v>56.089337784449093</v>
      </c>
      <c r="N81" s="1"/>
      <c r="O81" s="1"/>
    </row>
    <row r="82" spans="1:15" ht="15" hidden="1" x14ac:dyDescent="0.25">
      <c r="A82" s="2">
        <f t="shared" si="10"/>
        <v>0.3550000000000002</v>
      </c>
      <c r="B82" s="2">
        <f t="shared" si="0"/>
        <v>653.15</v>
      </c>
      <c r="C82" s="2">
        <f t="shared" si="1"/>
        <v>1.1638453314326442</v>
      </c>
      <c r="D82" s="2">
        <f t="shared" si="2"/>
        <v>-0.24914755718456286</v>
      </c>
      <c r="E82" s="2">
        <f t="shared" si="3"/>
        <v>3.7366747987382154E-2</v>
      </c>
      <c r="F82" s="2">
        <f t="shared" si="4"/>
        <v>0.27800000000000002</v>
      </c>
      <c r="G82" s="2">
        <f t="shared" si="5"/>
        <v>-2.0745038336050014E-4</v>
      </c>
      <c r="H82" s="2">
        <f t="shared" si="6"/>
        <v>0.90067361298732684</v>
      </c>
      <c r="I82" s="2">
        <f t="shared" si="7"/>
        <v>2.8036601552034451E-3</v>
      </c>
      <c r="J82" s="2">
        <f t="shared" si="8"/>
        <v>1.0219020263694634</v>
      </c>
      <c r="K82" s="2">
        <f t="shared" si="11"/>
        <v>51.540088538755818</v>
      </c>
      <c r="L82" s="2">
        <f t="shared" si="9"/>
        <v>1.134597496400555</v>
      </c>
      <c r="M82" s="2">
        <f t="shared" si="12"/>
        <v>57.223935280849645</v>
      </c>
      <c r="N82" s="1"/>
      <c r="O82" s="1"/>
    </row>
    <row r="83" spans="1:15" ht="15" hidden="1" x14ac:dyDescent="0.25">
      <c r="A83" s="2">
        <f t="shared" si="10"/>
        <v>0.36000000000000021</v>
      </c>
      <c r="B83" s="2">
        <f t="shared" si="0"/>
        <v>653.15</v>
      </c>
      <c r="C83" s="2">
        <f t="shared" si="1"/>
        <v>1.1638453314326442</v>
      </c>
      <c r="D83" s="2">
        <f t="shared" si="2"/>
        <v>-0.24914755718456286</v>
      </c>
      <c r="E83" s="2">
        <f t="shared" si="3"/>
        <v>3.7366747987382154E-2</v>
      </c>
      <c r="F83" s="2">
        <f t="shared" si="4"/>
        <v>0.27800000000000002</v>
      </c>
      <c r="G83" s="2">
        <f t="shared" si="5"/>
        <v>-2.0745038336050014E-4</v>
      </c>
      <c r="H83" s="2">
        <f t="shared" si="6"/>
        <v>0.90067361298732684</v>
      </c>
      <c r="I83" s="2">
        <f t="shared" si="7"/>
        <v>2.8036601552034451E-3</v>
      </c>
      <c r="J83" s="2">
        <f t="shared" si="8"/>
        <v>1.0336859519502921</v>
      </c>
      <c r="K83" s="2">
        <f t="shared" si="11"/>
        <v>52.573774490706107</v>
      </c>
      <c r="L83" s="2">
        <f t="shared" si="9"/>
        <v>1.147680954615506</v>
      </c>
      <c r="M83" s="2">
        <f t="shared" si="12"/>
        <v>58.371616235465154</v>
      </c>
      <c r="N83" s="1"/>
      <c r="O83" s="1"/>
    </row>
    <row r="84" spans="1:15" ht="15" hidden="1" x14ac:dyDescent="0.25">
      <c r="A84" s="2">
        <f t="shared" si="10"/>
        <v>0.36500000000000021</v>
      </c>
      <c r="B84" s="2">
        <f t="shared" si="0"/>
        <v>653.15</v>
      </c>
      <c r="C84" s="2">
        <f t="shared" si="1"/>
        <v>1.1638453314326442</v>
      </c>
      <c r="D84" s="2">
        <f t="shared" si="2"/>
        <v>-0.24914755718456286</v>
      </c>
      <c r="E84" s="2">
        <f t="shared" si="3"/>
        <v>3.7366747987382154E-2</v>
      </c>
      <c r="F84" s="2">
        <f t="shared" si="4"/>
        <v>0.27800000000000002</v>
      </c>
      <c r="G84" s="2">
        <f t="shared" si="5"/>
        <v>-2.0745038336050014E-4</v>
      </c>
      <c r="H84" s="2">
        <f t="shared" si="6"/>
        <v>0.90067361298732684</v>
      </c>
      <c r="I84" s="2">
        <f t="shared" si="7"/>
        <v>2.8036601552034451E-3</v>
      </c>
      <c r="J84" s="2">
        <f t="shared" si="8"/>
        <v>1.0456554511623148</v>
      </c>
      <c r="K84" s="2">
        <f t="shared" si="11"/>
        <v>53.619429941868425</v>
      </c>
      <c r="L84" s="2">
        <f t="shared" si="9"/>
        <v>1.1609704515425034</v>
      </c>
      <c r="M84" s="2">
        <f t="shared" si="12"/>
        <v>59.532586687007658</v>
      </c>
      <c r="N84" s="1"/>
      <c r="O84" s="1"/>
    </row>
    <row r="85" spans="1:15" ht="15" hidden="1" x14ac:dyDescent="0.25">
      <c r="A85" s="2">
        <f t="shared" si="10"/>
        <v>0.37000000000000022</v>
      </c>
      <c r="B85" s="2">
        <f t="shared" si="0"/>
        <v>653.15</v>
      </c>
      <c r="C85" s="2">
        <f t="shared" si="1"/>
        <v>1.1638453314326442</v>
      </c>
      <c r="D85" s="2">
        <f t="shared" si="2"/>
        <v>-0.24914755718456286</v>
      </c>
      <c r="E85" s="2">
        <f t="shared" si="3"/>
        <v>3.7366747987382154E-2</v>
      </c>
      <c r="F85" s="2">
        <f t="shared" si="4"/>
        <v>0.27800000000000002</v>
      </c>
      <c r="G85" s="2">
        <f t="shared" si="5"/>
        <v>-2.0745038336050014E-4</v>
      </c>
      <c r="H85" s="2">
        <f t="shared" si="6"/>
        <v>0.90067361298732684</v>
      </c>
      <c r="I85" s="2">
        <f t="shared" si="7"/>
        <v>2.8036601552034451E-3</v>
      </c>
      <c r="J85" s="2">
        <f t="shared" si="8"/>
        <v>1.0578149424253223</v>
      </c>
      <c r="K85" s="2">
        <f t="shared" si="11"/>
        <v>54.677244884293749</v>
      </c>
      <c r="L85" s="2">
        <f t="shared" si="9"/>
        <v>1.1744708928651677</v>
      </c>
      <c r="M85" s="2">
        <f t="shared" si="12"/>
        <v>60.707057579872824</v>
      </c>
      <c r="N85" s="1"/>
      <c r="O85" s="1"/>
    </row>
    <row r="86" spans="1:15" ht="15" hidden="1" x14ac:dyDescent="0.25">
      <c r="A86" s="2">
        <f t="shared" si="10"/>
        <v>0.37500000000000022</v>
      </c>
      <c r="B86" s="2">
        <f t="shared" si="0"/>
        <v>653.15</v>
      </c>
      <c r="C86" s="2">
        <f t="shared" si="1"/>
        <v>1.1638453314326442</v>
      </c>
      <c r="D86" s="2">
        <f t="shared" si="2"/>
        <v>-0.24914755718456286</v>
      </c>
      <c r="E86" s="2">
        <f t="shared" si="3"/>
        <v>3.7366747987382154E-2</v>
      </c>
      <c r="F86" s="2">
        <f t="shared" si="4"/>
        <v>0.27800000000000002</v>
      </c>
      <c r="G86" s="2">
        <f t="shared" si="5"/>
        <v>-2.0745038336050014E-4</v>
      </c>
      <c r="H86" s="2">
        <f t="shared" si="6"/>
        <v>0.90067361298732684</v>
      </c>
      <c r="I86" s="2">
        <f t="shared" si="7"/>
        <v>2.8036601552034451E-3</v>
      </c>
      <c r="J86" s="2">
        <f t="shared" si="8"/>
        <v>1.0701689855485379</v>
      </c>
      <c r="K86" s="2">
        <f t="shared" si="11"/>
        <v>55.747413869842291</v>
      </c>
      <c r="L86" s="2">
        <f t="shared" si="9"/>
        <v>1.1881873412489945</v>
      </c>
      <c r="M86" s="2">
        <f t="shared" si="12"/>
        <v>61.895244921121815</v>
      </c>
      <c r="N86" s="1"/>
      <c r="O86" s="1"/>
    </row>
    <row r="87" spans="1:15" ht="15" hidden="1" x14ac:dyDescent="0.25">
      <c r="A87" s="2">
        <f t="shared" si="10"/>
        <v>0.38000000000000023</v>
      </c>
      <c r="B87" s="2">
        <f t="shared" si="0"/>
        <v>653.15</v>
      </c>
      <c r="C87" s="2">
        <f t="shared" si="1"/>
        <v>1.1638453314326442</v>
      </c>
      <c r="D87" s="2">
        <f t="shared" si="2"/>
        <v>-0.24914755718456286</v>
      </c>
      <c r="E87" s="2">
        <f t="shared" si="3"/>
        <v>3.7366747987382154E-2</v>
      </c>
      <c r="F87" s="2">
        <f t="shared" si="4"/>
        <v>0.27800000000000002</v>
      </c>
      <c r="G87" s="2">
        <f t="shared" si="5"/>
        <v>-2.0745038336050014E-4</v>
      </c>
      <c r="H87" s="2">
        <f t="shared" si="6"/>
        <v>0.90067361298732684</v>
      </c>
      <c r="I87" s="2">
        <f t="shared" si="7"/>
        <v>2.8036601552034451E-3</v>
      </c>
      <c r="J87" s="2">
        <f t="shared" si="8"/>
        <v>1.0827222874318052</v>
      </c>
      <c r="K87" s="2">
        <f t="shared" si="11"/>
        <v>56.830136157274097</v>
      </c>
      <c r="L87" s="2">
        <f t="shared" si="9"/>
        <v>1.2021250226712701</v>
      </c>
      <c r="M87" s="2">
        <f t="shared" si="12"/>
        <v>63.097369943793083</v>
      </c>
      <c r="N87" s="1"/>
      <c r="O87" s="1"/>
    </row>
    <row r="88" spans="1:15" ht="15" hidden="1" x14ac:dyDescent="0.25">
      <c r="A88" s="2">
        <f t="shared" si="10"/>
        <v>0.38500000000000023</v>
      </c>
      <c r="B88" s="2">
        <f t="shared" si="0"/>
        <v>653.15</v>
      </c>
      <c r="C88" s="2">
        <f t="shared" si="1"/>
        <v>1.1638453314326442</v>
      </c>
      <c r="D88" s="2">
        <f t="shared" si="2"/>
        <v>-0.24914755718456286</v>
      </c>
      <c r="E88" s="2">
        <f t="shared" si="3"/>
        <v>3.7366747987382154E-2</v>
      </c>
      <c r="F88" s="2">
        <f t="shared" si="4"/>
        <v>0.27800000000000002</v>
      </c>
      <c r="G88" s="2">
        <f t="shared" si="5"/>
        <v>-2.0745038336050014E-4</v>
      </c>
      <c r="H88" s="2">
        <f t="shared" si="6"/>
        <v>0.90067361298732684</v>
      </c>
      <c r="I88" s="2">
        <f t="shared" si="7"/>
        <v>2.8036601552034451E-3</v>
      </c>
      <c r="J88" s="2">
        <f t="shared" si="8"/>
        <v>1.0954797080448817</v>
      </c>
      <c r="K88" s="2">
        <f t="shared" si="11"/>
        <v>57.925615865318981</v>
      </c>
      <c r="L88" s="2">
        <f t="shared" si="9"/>
        <v>1.2162893330597617</v>
      </c>
      <c r="M88" s="2">
        <f t="shared" si="12"/>
        <v>64.313659276852846</v>
      </c>
      <c r="N88" s="1"/>
      <c r="O88" s="1"/>
    </row>
    <row r="89" spans="1:15" ht="15" hidden="1" x14ac:dyDescent="0.25">
      <c r="A89" s="2">
        <f t="shared" si="10"/>
        <v>0.39000000000000024</v>
      </c>
      <c r="B89" s="2">
        <f t="shared" si="0"/>
        <v>653.15</v>
      </c>
      <c r="C89" s="2">
        <f t="shared" si="1"/>
        <v>1.1638453314326442</v>
      </c>
      <c r="D89" s="2">
        <f t="shared" si="2"/>
        <v>-0.24914755718456286</v>
      </c>
      <c r="E89" s="2">
        <f t="shared" si="3"/>
        <v>3.7366747987382154E-2</v>
      </c>
      <c r="F89" s="2">
        <f t="shared" si="4"/>
        <v>0.27800000000000002</v>
      </c>
      <c r="G89" s="2">
        <f t="shared" si="5"/>
        <v>-2.0745038336050014E-4</v>
      </c>
      <c r="H89" s="2">
        <f t="shared" si="6"/>
        <v>0.90067361298732684</v>
      </c>
      <c r="I89" s="2">
        <f t="shared" si="7"/>
        <v>2.8036601552034451E-3</v>
      </c>
      <c r="J89" s="2">
        <f t="shared" si="8"/>
        <v>1.1084462667007953</v>
      </c>
      <c r="K89" s="2">
        <f t="shared" si="11"/>
        <v>59.034062132019777</v>
      </c>
      <c r="L89" s="2">
        <f t="shared" si="9"/>
        <v>1.2306858452579004</v>
      </c>
      <c r="M89" s="2">
        <f t="shared" si="12"/>
        <v>65.544345122110741</v>
      </c>
      <c r="N89" s="1"/>
      <c r="O89" s="1"/>
    </row>
    <row r="90" spans="1:15" ht="15" hidden="1" x14ac:dyDescent="0.25">
      <c r="A90" s="2">
        <f t="shared" si="10"/>
        <v>0.39500000000000024</v>
      </c>
      <c r="B90" s="2">
        <f t="shared" si="0"/>
        <v>653.15</v>
      </c>
      <c r="C90" s="2">
        <f t="shared" si="1"/>
        <v>1.1638453314326442</v>
      </c>
      <c r="D90" s="2">
        <f t="shared" si="2"/>
        <v>-0.24914755718456286</v>
      </c>
      <c r="E90" s="2">
        <f t="shared" si="3"/>
        <v>3.7366747987382154E-2</v>
      </c>
      <c r="F90" s="2">
        <f t="shared" si="4"/>
        <v>0.27800000000000002</v>
      </c>
      <c r="G90" s="2">
        <f t="shared" si="5"/>
        <v>-2.0745038336050014E-4</v>
      </c>
      <c r="H90" s="2">
        <f t="shared" si="6"/>
        <v>0.90067361298732684</v>
      </c>
      <c r="I90" s="2">
        <f t="shared" si="7"/>
        <v>2.8036601552034451E-3</v>
      </c>
      <c r="J90" s="2">
        <f t="shared" si="8"/>
        <v>1.1216271486402782</v>
      </c>
      <c r="K90" s="2">
        <f t="shared" si="11"/>
        <v>60.155689280660056</v>
      </c>
      <c r="L90" s="2">
        <f t="shared" si="9"/>
        <v>1.2453203163353475</v>
      </c>
      <c r="M90" s="2">
        <f t="shared" si="12"/>
        <v>66.789665438446093</v>
      </c>
      <c r="N90" s="1"/>
      <c r="O90" s="1"/>
    </row>
    <row r="91" spans="1:15" ht="15" hidden="1" x14ac:dyDescent="0.25">
      <c r="A91" s="2">
        <f t="shared" si="10"/>
        <v>0.40000000000000024</v>
      </c>
      <c r="B91" s="2">
        <f t="shared" si="0"/>
        <v>653.15</v>
      </c>
      <c r="C91" s="2">
        <f t="shared" si="1"/>
        <v>1.1638453314326442</v>
      </c>
      <c r="D91" s="2">
        <f t="shared" si="2"/>
        <v>-0.24914755718456286</v>
      </c>
      <c r="E91" s="2">
        <f t="shared" si="3"/>
        <v>3.7366747987382154E-2</v>
      </c>
      <c r="F91" s="2">
        <f t="shared" si="4"/>
        <v>0.27800000000000002</v>
      </c>
      <c r="G91" s="2">
        <f t="shared" si="5"/>
        <v>-2.0745038336050014E-4</v>
      </c>
      <c r="H91" s="2">
        <f t="shared" si="6"/>
        <v>0.90067361298732684</v>
      </c>
      <c r="I91" s="2">
        <f t="shared" si="7"/>
        <v>2.8036601552034451E-3</v>
      </c>
      <c r="J91" s="2">
        <f t="shared" si="8"/>
        <v>1.1350277119454191</v>
      </c>
      <c r="K91" s="2">
        <f t="shared" si="11"/>
        <v>61.290716992605475</v>
      </c>
      <c r="L91" s="2">
        <f t="shared" si="9"/>
        <v>1.2601986952640853</v>
      </c>
      <c r="M91" s="2">
        <f t="shared" si="12"/>
        <v>68.049864133710173</v>
      </c>
      <c r="N91" s="1"/>
      <c r="O91" s="1"/>
    </row>
    <row r="92" spans="1:15" ht="15" hidden="1" x14ac:dyDescent="0.25">
      <c r="A92" s="2">
        <f t="shared" si="10"/>
        <v>0.40500000000000025</v>
      </c>
      <c r="B92" s="2">
        <f t="shared" si="0"/>
        <v>653.15</v>
      </c>
      <c r="C92" s="2">
        <f t="shared" si="1"/>
        <v>1.1638453314326442</v>
      </c>
      <c r="D92" s="2">
        <f t="shared" si="2"/>
        <v>-0.24914755718456286</v>
      </c>
      <c r="E92" s="2">
        <f t="shared" si="3"/>
        <v>3.7366747987382154E-2</v>
      </c>
      <c r="F92" s="2">
        <f t="shared" si="4"/>
        <v>0.27800000000000002</v>
      </c>
      <c r="G92" s="2">
        <f t="shared" si="5"/>
        <v>-2.0745038336050014E-4</v>
      </c>
      <c r="H92" s="2">
        <f t="shared" si="6"/>
        <v>0.90067361298732684</v>
      </c>
      <c r="I92" s="2">
        <f t="shared" si="7"/>
        <v>2.8036601552034451E-3</v>
      </c>
      <c r="J92" s="2">
        <f t="shared" si="8"/>
        <v>1.1486534948019067</v>
      </c>
      <c r="K92" s="2">
        <f t="shared" si="11"/>
        <v>62.43937048740738</v>
      </c>
      <c r="L92" s="2">
        <f t="shared" si="9"/>
        <v>1.2753271309815413</v>
      </c>
      <c r="M92" s="2">
        <f t="shared" si="12"/>
        <v>69.325191264691711</v>
      </c>
      <c r="N92" s="1"/>
      <c r="O92" s="1"/>
    </row>
    <row r="93" spans="1:15" ht="15" hidden="1" x14ac:dyDescent="0.25">
      <c r="A93" s="2">
        <f t="shared" si="10"/>
        <v>0.41000000000000025</v>
      </c>
      <c r="B93" s="2">
        <f t="shared" si="0"/>
        <v>653.15</v>
      </c>
      <c r="C93" s="2">
        <f t="shared" si="1"/>
        <v>1.1638453314326442</v>
      </c>
      <c r="D93" s="2">
        <f t="shared" si="2"/>
        <v>-0.24914755718456286</v>
      </c>
      <c r="E93" s="2">
        <f t="shared" si="3"/>
        <v>3.7366747987382154E-2</v>
      </c>
      <c r="F93" s="2">
        <f t="shared" si="4"/>
        <v>0.27800000000000002</v>
      </c>
      <c r="G93" s="2">
        <f t="shared" si="5"/>
        <v>-2.0745038336050014E-4</v>
      </c>
      <c r="H93" s="2">
        <f t="shared" si="6"/>
        <v>0.90067361298732684</v>
      </c>
      <c r="I93" s="2">
        <f t="shared" si="7"/>
        <v>2.8036601552034451E-3</v>
      </c>
      <c r="J93" s="2">
        <f t="shared" si="8"/>
        <v>1.1625102231305382</v>
      </c>
      <c r="K93" s="2">
        <f t="shared" si="11"/>
        <v>63.60188071053792</v>
      </c>
      <c r="L93" s="2">
        <f t="shared" si="9"/>
        <v>1.2907119808636998</v>
      </c>
      <c r="M93" s="2">
        <f t="shared" si="12"/>
        <v>70.615903245555415</v>
      </c>
      <c r="N93" s="1"/>
      <c r="O93" s="1"/>
    </row>
    <row r="94" spans="1:15" ht="15" hidden="1" x14ac:dyDescent="0.25">
      <c r="A94" s="2">
        <f t="shared" si="10"/>
        <v>0.41500000000000026</v>
      </c>
      <c r="B94" s="2">
        <f t="shared" si="0"/>
        <v>653.15</v>
      </c>
      <c r="C94" s="2">
        <f t="shared" si="1"/>
        <v>1.1638453314326442</v>
      </c>
      <c r="D94" s="2">
        <f t="shared" si="2"/>
        <v>-0.24914755718456286</v>
      </c>
      <c r="E94" s="2">
        <f t="shared" si="3"/>
        <v>3.7366747987382154E-2</v>
      </c>
      <c r="F94" s="2">
        <f t="shared" si="4"/>
        <v>0.27800000000000002</v>
      </c>
      <c r="G94" s="2">
        <f t="shared" si="5"/>
        <v>-2.0745038336050014E-4</v>
      </c>
      <c r="H94" s="2">
        <f t="shared" si="6"/>
        <v>0.90067361298732684</v>
      </c>
      <c r="I94" s="2">
        <f t="shared" si="7"/>
        <v>2.8036601552034451E-3</v>
      </c>
      <c r="J94" s="2">
        <f t="shared" si="8"/>
        <v>1.1766038186100864</v>
      </c>
      <c r="K94" s="2">
        <f t="shared" si="11"/>
        <v>64.778484529148002</v>
      </c>
      <c r="L94" s="2">
        <f t="shared" si="9"/>
        <v>1.3063598196327331</v>
      </c>
      <c r="M94" s="2">
        <f t="shared" si="12"/>
        <v>71.922263065188147</v>
      </c>
      <c r="N94" s="1"/>
      <c r="O94" s="1"/>
    </row>
    <row r="95" spans="1:15" ht="15" hidden="1" x14ac:dyDescent="0.25">
      <c r="A95" s="2">
        <f t="shared" si="10"/>
        <v>0.42000000000000026</v>
      </c>
      <c r="B95" s="2">
        <f t="shared" si="0"/>
        <v>653.15</v>
      </c>
      <c r="C95" s="2">
        <f t="shared" si="1"/>
        <v>1.1638453314326442</v>
      </c>
      <c r="D95" s="2">
        <f t="shared" si="2"/>
        <v>-0.24914755718456286</v>
      </c>
      <c r="E95" s="2">
        <f t="shared" si="3"/>
        <v>3.7366747987382154E-2</v>
      </c>
      <c r="F95" s="2">
        <f t="shared" si="4"/>
        <v>0.27800000000000002</v>
      </c>
      <c r="G95" s="2">
        <f t="shared" si="5"/>
        <v>-2.0745038336050014E-4</v>
      </c>
      <c r="H95" s="2">
        <f t="shared" si="6"/>
        <v>0.90067361298732684</v>
      </c>
      <c r="I95" s="2">
        <f t="shared" si="7"/>
        <v>2.8036601552034451E-3</v>
      </c>
      <c r="J95" s="2">
        <f t="shared" si="8"/>
        <v>1.1909404071151439</v>
      </c>
      <c r="K95" s="2">
        <f t="shared" si="11"/>
        <v>65.969424936263152</v>
      </c>
      <c r="L95" s="2">
        <f t="shared" si="9"/>
        <v>1.3222774487253701</v>
      </c>
      <c r="M95" s="2">
        <f t="shared" si="12"/>
        <v>73.24454051391352</v>
      </c>
      <c r="N95" s="1"/>
      <c r="O95" s="1"/>
    </row>
    <row r="96" spans="1:15" ht="15" hidden="1" x14ac:dyDescent="0.25">
      <c r="A96" s="2">
        <f t="shared" si="10"/>
        <v>0.42500000000000027</v>
      </c>
      <c r="B96" s="2">
        <f t="shared" si="0"/>
        <v>653.15</v>
      </c>
      <c r="C96" s="2">
        <f t="shared" si="1"/>
        <v>1.1638453314326442</v>
      </c>
      <c r="D96" s="2">
        <f t="shared" si="2"/>
        <v>-0.24914755718456286</v>
      </c>
      <c r="E96" s="2">
        <f t="shared" si="3"/>
        <v>3.7366747987382154E-2</v>
      </c>
      <c r="F96" s="2">
        <f t="shared" si="4"/>
        <v>0.27800000000000002</v>
      </c>
      <c r="G96" s="2">
        <f t="shared" si="5"/>
        <v>-2.0745038336050014E-4</v>
      </c>
      <c r="H96" s="2">
        <f t="shared" si="6"/>
        <v>0.90067361298732684</v>
      </c>
      <c r="I96" s="2">
        <f t="shared" si="7"/>
        <v>2.8036601552034451E-3</v>
      </c>
      <c r="J96" s="2">
        <f t="shared" si="8"/>
        <v>1.2055263275942028</v>
      </c>
      <c r="K96" s="2">
        <f t="shared" si="11"/>
        <v>67.174951263857352</v>
      </c>
      <c r="L96" s="2">
        <f t="shared" si="9"/>
        <v>1.338471906150053</v>
      </c>
      <c r="M96" s="2">
        <f t="shared" si="12"/>
        <v>74.583012420063568</v>
      </c>
      <c r="N96" s="1"/>
      <c r="O96" s="1"/>
    </row>
    <row r="97" spans="1:15" ht="15" hidden="1" x14ac:dyDescent="0.25">
      <c r="A97" s="2">
        <f t="shared" si="10"/>
        <v>0.43000000000000027</v>
      </c>
      <c r="B97" s="2">
        <f t="shared" si="0"/>
        <v>653.15</v>
      </c>
      <c r="C97" s="2">
        <f t="shared" si="1"/>
        <v>1.1638453314326442</v>
      </c>
      <c r="D97" s="2">
        <f t="shared" si="2"/>
        <v>-0.24914755718456286</v>
      </c>
      <c r="E97" s="2">
        <f t="shared" si="3"/>
        <v>3.7366747987382154E-2</v>
      </c>
      <c r="F97" s="2">
        <f t="shared" si="4"/>
        <v>0.27800000000000002</v>
      </c>
      <c r="G97" s="2">
        <f t="shared" si="5"/>
        <v>-2.0745038336050014E-4</v>
      </c>
      <c r="H97" s="2">
        <f t="shared" si="6"/>
        <v>0.90067361298732684</v>
      </c>
      <c r="I97" s="2">
        <f t="shared" si="7"/>
        <v>2.8036601552034451E-3</v>
      </c>
      <c r="J97" s="2">
        <f t="shared" si="8"/>
        <v>1.2203681414149992</v>
      </c>
      <c r="K97" s="2">
        <f t="shared" si="11"/>
        <v>68.395319405272346</v>
      </c>
      <c r="L97" s="2">
        <f t="shared" si="9"/>
        <v>1.3549504768628884</v>
      </c>
      <c r="M97" s="2">
        <f t="shared" si="12"/>
        <v>75.93796289692645</v>
      </c>
      <c r="N97" s="1"/>
      <c r="O97" s="1"/>
    </row>
    <row r="98" spans="1:15" ht="15" hidden="1" x14ac:dyDescent="0.25">
      <c r="A98" s="2">
        <f t="shared" si="10"/>
        <v>0.43500000000000028</v>
      </c>
      <c r="B98" s="2">
        <f t="shared" si="0"/>
        <v>653.15</v>
      </c>
      <c r="C98" s="2">
        <f t="shared" si="1"/>
        <v>1.1638453314326442</v>
      </c>
      <c r="D98" s="2">
        <f t="shared" si="2"/>
        <v>-0.24914755718456286</v>
      </c>
      <c r="E98" s="2">
        <f t="shared" si="3"/>
        <v>3.7366747987382154E-2</v>
      </c>
      <c r="F98" s="2">
        <f t="shared" si="4"/>
        <v>0.27800000000000002</v>
      </c>
      <c r="G98" s="2">
        <f t="shared" si="5"/>
        <v>-2.0745038336050014E-4</v>
      </c>
      <c r="H98" s="2">
        <f t="shared" si="6"/>
        <v>0.90067361298732684</v>
      </c>
      <c r="I98" s="2">
        <f t="shared" si="7"/>
        <v>2.8036601552034451E-3</v>
      </c>
      <c r="J98" s="2">
        <f t="shared" si="8"/>
        <v>1.2354726422060756</v>
      </c>
      <c r="K98" s="2">
        <f t="shared" si="11"/>
        <v>69.630792047478423</v>
      </c>
      <c r="L98" s="2">
        <f t="shared" si="9"/>
        <v>1.3717207036945354</v>
      </c>
      <c r="M98" s="2">
        <f t="shared" si="12"/>
        <v>77.309683600620986</v>
      </c>
      <c r="N98" s="1"/>
      <c r="O98" s="1"/>
    </row>
    <row r="99" spans="1:15" ht="15" hidden="1" x14ac:dyDescent="0.25">
      <c r="A99" s="2">
        <f t="shared" si="10"/>
        <v>0.44000000000000028</v>
      </c>
      <c r="B99" s="2">
        <f t="shared" si="0"/>
        <v>653.15</v>
      </c>
      <c r="C99" s="2">
        <f t="shared" si="1"/>
        <v>1.1638453314326442</v>
      </c>
      <c r="D99" s="2">
        <f t="shared" si="2"/>
        <v>-0.24914755718456286</v>
      </c>
      <c r="E99" s="2">
        <f t="shared" si="3"/>
        <v>3.7366747987382154E-2</v>
      </c>
      <c r="F99" s="2">
        <f t="shared" si="4"/>
        <v>0.27800000000000002</v>
      </c>
      <c r="G99" s="2">
        <f t="shared" si="5"/>
        <v>-2.0745038336050014E-4</v>
      </c>
      <c r="H99" s="2">
        <f t="shared" si="6"/>
        <v>0.90067361298732684</v>
      </c>
      <c r="I99" s="2">
        <f t="shared" si="7"/>
        <v>2.8036601552034451E-3</v>
      </c>
      <c r="J99" s="2">
        <f t="shared" si="8"/>
        <v>1.2508468662255638</v>
      </c>
      <c r="K99" s="2">
        <f t="shared" si="11"/>
        <v>70.881638913703981</v>
      </c>
      <c r="L99" s="2">
        <f t="shared" si="9"/>
        <v>1.3887903988624615</v>
      </c>
      <c r="M99" s="2">
        <f t="shared" si="12"/>
        <v>78.69847399948344</v>
      </c>
      <c r="N99" s="1"/>
      <c r="O99" s="1"/>
    </row>
    <row r="100" spans="1:15" ht="15" hidden="1" x14ac:dyDescent="0.25">
      <c r="A100" s="2">
        <f t="shared" si="10"/>
        <v>0.44500000000000028</v>
      </c>
      <c r="B100" s="2">
        <f t="shared" si="0"/>
        <v>653.15</v>
      </c>
      <c r="C100" s="2">
        <f t="shared" si="1"/>
        <v>1.1638453314326442</v>
      </c>
      <c r="D100" s="2">
        <f t="shared" si="2"/>
        <v>-0.24914755718456286</v>
      </c>
      <c r="E100" s="2">
        <f t="shared" si="3"/>
        <v>3.7366747987382154E-2</v>
      </c>
      <c r="F100" s="2">
        <f t="shared" si="4"/>
        <v>0.27800000000000002</v>
      </c>
      <c r="G100" s="2">
        <f t="shared" si="5"/>
        <v>-2.0745038336050014E-4</v>
      </c>
      <c r="H100" s="2">
        <f t="shared" si="6"/>
        <v>0.90067361298732684</v>
      </c>
      <c r="I100" s="2">
        <f t="shared" si="7"/>
        <v>2.8036601552034451E-3</v>
      </c>
      <c r="J100" s="2">
        <f t="shared" si="8"/>
        <v>1.2664981032904483</v>
      </c>
      <c r="K100" s="2">
        <f t="shared" si="11"/>
        <v>72.148137016994426</v>
      </c>
      <c r="L100" s="2">
        <f t="shared" si="9"/>
        <v>1.4061676561054852</v>
      </c>
      <c r="M100" s="2">
        <f t="shared" si="12"/>
        <v>80.104641655588921</v>
      </c>
      <c r="N100" s="1"/>
      <c r="O100" s="1"/>
    </row>
    <row r="101" spans="1:15" ht="15" hidden="1" x14ac:dyDescent="0.25">
      <c r="A101" s="2">
        <f t="shared" si="10"/>
        <v>0.45000000000000029</v>
      </c>
      <c r="B101" s="2">
        <f t="shared" si="0"/>
        <v>653.15</v>
      </c>
      <c r="C101" s="2">
        <f t="shared" si="1"/>
        <v>1.1638453314326442</v>
      </c>
      <c r="D101" s="2">
        <f t="shared" si="2"/>
        <v>-0.24914755718456286</v>
      </c>
      <c r="E101" s="2">
        <f t="shared" si="3"/>
        <v>3.7366747987382154E-2</v>
      </c>
      <c r="F101" s="2">
        <f t="shared" si="4"/>
        <v>0.27800000000000002</v>
      </c>
      <c r="G101" s="2">
        <f t="shared" si="5"/>
        <v>-2.0745038336050014E-4</v>
      </c>
      <c r="H101" s="2">
        <f t="shared" si="6"/>
        <v>0.90067361298732684</v>
      </c>
      <c r="I101" s="2">
        <f t="shared" si="7"/>
        <v>2.8036601552034451E-3</v>
      </c>
      <c r="J101" s="2">
        <f t="shared" si="8"/>
        <v>1.2824339083019669</v>
      </c>
      <c r="K101" s="2">
        <f t="shared" si="11"/>
        <v>73.430570925296394</v>
      </c>
      <c r="L101" s="2">
        <f t="shared" si="9"/>
        <v>1.4238608634802004</v>
      </c>
      <c r="M101" s="2">
        <f t="shared" si="12"/>
        <v>81.528502519069121</v>
      </c>
      <c r="N101" s="1"/>
      <c r="O101" s="1"/>
    </row>
    <row r="102" spans="1:15" ht="15" hidden="1" x14ac:dyDescent="0.25">
      <c r="A102" s="2">
        <f t="shared" si="10"/>
        <v>0.45500000000000029</v>
      </c>
      <c r="B102" s="2">
        <f t="shared" si="0"/>
        <v>653.15</v>
      </c>
      <c r="C102" s="2">
        <f t="shared" si="1"/>
        <v>1.1638453314326442</v>
      </c>
      <c r="D102" s="2">
        <f t="shared" si="2"/>
        <v>-0.24914755718456286</v>
      </c>
      <c r="E102" s="2">
        <f t="shared" si="3"/>
        <v>3.7366747987382154E-2</v>
      </c>
      <c r="F102" s="2">
        <f t="shared" si="4"/>
        <v>0.27800000000000002</v>
      </c>
      <c r="G102" s="2">
        <f t="shared" si="5"/>
        <v>-2.0745038336050014E-4</v>
      </c>
      <c r="H102" s="2">
        <f t="shared" si="6"/>
        <v>0.90067361298732684</v>
      </c>
      <c r="I102" s="2">
        <f t="shared" si="7"/>
        <v>2.8036601552034451E-3</v>
      </c>
      <c r="J102" s="2">
        <f t="shared" si="8"/>
        <v>1.2986621134054404</v>
      </c>
      <c r="K102" s="2">
        <f t="shared" si="11"/>
        <v>74.729233038701835</v>
      </c>
      <c r="L102" s="2">
        <f t="shared" si="9"/>
        <v>1.4418787168617908</v>
      </c>
      <c r="M102" s="2">
        <f t="shared" si="12"/>
        <v>82.970381235930915</v>
      </c>
      <c r="N102" s="1"/>
      <c r="O102" s="1"/>
    </row>
    <row r="103" spans="1:15" ht="15" hidden="1" x14ac:dyDescent="0.25">
      <c r="A103" s="2">
        <f t="shared" si="10"/>
        <v>0.4600000000000003</v>
      </c>
      <c r="B103" s="2">
        <f t="shared" si="0"/>
        <v>653.15</v>
      </c>
      <c r="C103" s="2">
        <f t="shared" si="1"/>
        <v>1.1638453314326442</v>
      </c>
      <c r="D103" s="2">
        <f t="shared" si="2"/>
        <v>-0.24914755718456286</v>
      </c>
      <c r="E103" s="2">
        <f t="shared" si="3"/>
        <v>3.7366747987382154E-2</v>
      </c>
      <c r="F103" s="2">
        <f t="shared" si="4"/>
        <v>0.27800000000000002</v>
      </c>
      <c r="G103" s="2">
        <f t="shared" si="5"/>
        <v>-2.0745038336050014E-4</v>
      </c>
      <c r="H103" s="2">
        <f t="shared" si="6"/>
        <v>0.90067361298732684</v>
      </c>
      <c r="I103" s="2">
        <f t="shared" si="7"/>
        <v>2.8036601552034451E-3</v>
      </c>
      <c r="J103" s="2">
        <f t="shared" si="8"/>
        <v>1.3151908408256447</v>
      </c>
      <c r="K103" s="2">
        <f t="shared" si="11"/>
        <v>76.044423879527486</v>
      </c>
      <c r="L103" s="2">
        <f t="shared" si="9"/>
        <v>1.4602302341948927</v>
      </c>
      <c r="M103" s="2">
        <f t="shared" si="12"/>
        <v>84.430611470125811</v>
      </c>
      <c r="N103" s="1"/>
      <c r="O103" s="1"/>
    </row>
    <row r="104" spans="1:15" ht="15" hidden="1" x14ac:dyDescent="0.25">
      <c r="A104" s="2">
        <f t="shared" si="10"/>
        <v>0.4650000000000003</v>
      </c>
      <c r="B104" s="2">
        <f t="shared" si="0"/>
        <v>653.15</v>
      </c>
      <c r="C104" s="2">
        <f t="shared" si="1"/>
        <v>1.1638453314326442</v>
      </c>
      <c r="D104" s="2">
        <f t="shared" si="2"/>
        <v>-0.24914755718456286</v>
      </c>
      <c r="E104" s="2">
        <f t="shared" si="3"/>
        <v>3.7366747987382154E-2</v>
      </c>
      <c r="F104" s="2">
        <f t="shared" si="4"/>
        <v>0.27800000000000002</v>
      </c>
      <c r="G104" s="2">
        <f t="shared" si="5"/>
        <v>-2.0745038336050014E-4</v>
      </c>
      <c r="H104" s="2">
        <f t="shared" si="6"/>
        <v>0.90067361298732684</v>
      </c>
      <c r="I104" s="2">
        <f t="shared" si="7"/>
        <v>2.8036601552034451E-3</v>
      </c>
      <c r="J104" s="2">
        <f t="shared" si="8"/>
        <v>1.3320285164219272</v>
      </c>
      <c r="K104" s="2">
        <f t="shared" si="11"/>
        <v>77.376452395949414</v>
      </c>
      <c r="L104" s="2">
        <f t="shared" si="9"/>
        <v>1.4789247705435662</v>
      </c>
      <c r="M104" s="2">
        <f t="shared" si="12"/>
        <v>85.909536240669382</v>
      </c>
      <c r="N104" s="1"/>
      <c r="O104" s="1"/>
    </row>
    <row r="105" spans="1:15" ht="15" hidden="1" x14ac:dyDescent="0.25">
      <c r="A105" s="2">
        <f t="shared" si="10"/>
        <v>0.47000000000000031</v>
      </c>
      <c r="B105" s="2">
        <f t="shared" si="0"/>
        <v>653.15</v>
      </c>
      <c r="C105" s="2">
        <f t="shared" si="1"/>
        <v>1.1638453314326442</v>
      </c>
      <c r="D105" s="2">
        <f t="shared" si="2"/>
        <v>-0.24914755718456286</v>
      </c>
      <c r="E105" s="2">
        <f t="shared" si="3"/>
        <v>3.7366747987382154E-2</v>
      </c>
      <c r="F105" s="2">
        <f t="shared" si="4"/>
        <v>0.27800000000000002</v>
      </c>
      <c r="G105" s="2">
        <f t="shared" si="5"/>
        <v>-2.0745038336050014E-4</v>
      </c>
      <c r="H105" s="2">
        <f t="shared" si="6"/>
        <v>0.90067361298732684</v>
      </c>
      <c r="I105" s="2">
        <f t="shared" si="7"/>
        <v>2.8036601552034451E-3</v>
      </c>
      <c r="J105" s="2">
        <f t="shared" si="8"/>
        <v>1.3491838840105925</v>
      </c>
      <c r="K105" s="2">
        <f t="shared" si="11"/>
        <v>78.72563627996</v>
      </c>
      <c r="L105" s="2">
        <f t="shared" si="9"/>
        <v>1.4979720339931577</v>
      </c>
      <c r="M105" s="2">
        <f t="shared" si="12"/>
        <v>87.407508274662547</v>
      </c>
      <c r="N105" s="1"/>
      <c r="O105" s="1"/>
    </row>
    <row r="106" spans="1:15" ht="15" hidden="1" x14ac:dyDescent="0.25">
      <c r="A106" s="2">
        <f t="shared" si="10"/>
        <v>0.47500000000000031</v>
      </c>
      <c r="B106" s="2">
        <f t="shared" si="0"/>
        <v>653.15</v>
      </c>
      <c r="C106" s="2">
        <f t="shared" si="1"/>
        <v>1.1638453314326442</v>
      </c>
      <c r="D106" s="2">
        <f t="shared" si="2"/>
        <v>-0.24914755718456286</v>
      </c>
      <c r="E106" s="2">
        <f t="shared" si="3"/>
        <v>3.7366747987382154E-2</v>
      </c>
      <c r="F106" s="2">
        <f t="shared" si="4"/>
        <v>0.27800000000000002</v>
      </c>
      <c r="G106" s="2">
        <f t="shared" si="5"/>
        <v>-2.0745038336050014E-4</v>
      </c>
      <c r="H106" s="2">
        <f t="shared" si="6"/>
        <v>0.90067361298732684</v>
      </c>
      <c r="I106" s="2">
        <f t="shared" si="7"/>
        <v>2.8036601552034451E-3</v>
      </c>
      <c r="J106" s="2">
        <f t="shared" si="8"/>
        <v>1.3666660205057088</v>
      </c>
      <c r="K106" s="2">
        <f t="shared" si="11"/>
        <v>80.092302300465704</v>
      </c>
      <c r="L106" s="2">
        <f t="shared" si="9"/>
        <v>1.5173821024608376</v>
      </c>
      <c r="M106" s="2">
        <f t="shared" si="12"/>
        <v>88.92489037712339</v>
      </c>
      <c r="N106" s="1"/>
      <c r="O106" s="1"/>
    </row>
    <row r="107" spans="1:15" ht="15" hidden="1" x14ac:dyDescent="0.25">
      <c r="A107" s="2">
        <f t="shared" si="10"/>
        <v>0.48000000000000032</v>
      </c>
      <c r="B107" s="2">
        <f t="shared" si="0"/>
        <v>653.15</v>
      </c>
      <c r="C107" s="2">
        <f t="shared" si="1"/>
        <v>1.1638453314326442</v>
      </c>
      <c r="D107" s="2">
        <f t="shared" si="2"/>
        <v>-0.24914755718456286</v>
      </c>
      <c r="E107" s="2">
        <f t="shared" si="3"/>
        <v>3.7366747987382154E-2</v>
      </c>
      <c r="F107" s="2">
        <f t="shared" si="4"/>
        <v>0.27800000000000002</v>
      </c>
      <c r="G107" s="2">
        <f t="shared" si="5"/>
        <v>-2.0745038336050014E-4</v>
      </c>
      <c r="H107" s="2">
        <f t="shared" si="6"/>
        <v>0.90067361298732684</v>
      </c>
      <c r="I107" s="2">
        <f t="shared" si="7"/>
        <v>2.8036601552034451E-3</v>
      </c>
      <c r="J107" s="2">
        <f t="shared" si="8"/>
        <v>1.3844843519334236</v>
      </c>
      <c r="K107" s="2">
        <f t="shared" si="11"/>
        <v>81.476786652399127</v>
      </c>
      <c r="L107" s="2">
        <f t="shared" si="9"/>
        <v>1.5371654414759726</v>
      </c>
      <c r="M107" s="2">
        <f t="shared" si="12"/>
        <v>90.462055818599367</v>
      </c>
      <c r="N107" s="1"/>
      <c r="O107" s="1"/>
    </row>
    <row r="108" spans="1:15" ht="15" hidden="1" x14ac:dyDescent="0.25">
      <c r="A108" s="2">
        <f t="shared" si="10"/>
        <v>0.48500000000000032</v>
      </c>
      <c r="B108" s="2">
        <f t="shared" si="0"/>
        <v>653.15</v>
      </c>
      <c r="C108" s="2">
        <f t="shared" si="1"/>
        <v>1.1638453314326442</v>
      </c>
      <c r="D108" s="2">
        <f t="shared" si="2"/>
        <v>-0.24914755718456286</v>
      </c>
      <c r="E108" s="2">
        <f t="shared" si="3"/>
        <v>3.7366747987382154E-2</v>
      </c>
      <c r="F108" s="2">
        <f t="shared" si="4"/>
        <v>0.27800000000000002</v>
      </c>
      <c r="G108" s="2">
        <f t="shared" si="5"/>
        <v>-2.0745038336050014E-4</v>
      </c>
      <c r="H108" s="2">
        <f t="shared" si="6"/>
        <v>0.90067361298732684</v>
      </c>
      <c r="I108" s="2">
        <f t="shared" si="7"/>
        <v>2.8036601552034451E-3</v>
      </c>
      <c r="J108" s="2">
        <f t="shared" si="8"/>
        <v>1.4026486703791521</v>
      </c>
      <c r="K108" s="2">
        <f t="shared" si="11"/>
        <v>82.879435322778278</v>
      </c>
      <c r="L108" s="2">
        <f t="shared" si="9"/>
        <v>1.5573329229962554</v>
      </c>
      <c r="M108" s="2">
        <f t="shared" si="12"/>
        <v>92.01938874159562</v>
      </c>
      <c r="N108" s="1"/>
      <c r="O108" s="1"/>
    </row>
    <row r="109" spans="1:15" ht="15" hidden="1" x14ac:dyDescent="0.25">
      <c r="A109" s="2">
        <f t="shared" si="10"/>
        <v>0.49000000000000032</v>
      </c>
      <c r="B109" s="2">
        <f t="shared" si="0"/>
        <v>653.15</v>
      </c>
      <c r="C109" s="2">
        <f t="shared" si="1"/>
        <v>1.1638453314326442</v>
      </c>
      <c r="D109" s="2">
        <f t="shared" si="2"/>
        <v>-0.24914755718456286</v>
      </c>
      <c r="E109" s="2">
        <f t="shared" si="3"/>
        <v>3.7366747987382154E-2</v>
      </c>
      <c r="F109" s="2">
        <f t="shared" si="4"/>
        <v>0.27800000000000002</v>
      </c>
      <c r="G109" s="2">
        <f t="shared" si="5"/>
        <v>-2.0745038336050014E-4</v>
      </c>
      <c r="H109" s="2">
        <f t="shared" si="6"/>
        <v>0.90067361298732684</v>
      </c>
      <c r="I109" s="2">
        <f t="shared" si="7"/>
        <v>2.8036601552034451E-3</v>
      </c>
      <c r="J109" s="2">
        <f t="shared" si="8"/>
        <v>1.4211691519316592</v>
      </c>
      <c r="K109" s="2">
        <f t="shared" si="11"/>
        <v>84.300604474709942</v>
      </c>
      <c r="L109" s="2">
        <f t="shared" si="9"/>
        <v>1.5778958453306617</v>
      </c>
      <c r="M109" s="2">
        <f t="shared" si="12"/>
        <v>93.597284586926278</v>
      </c>
      <c r="N109" s="1"/>
      <c r="O109" s="1"/>
    </row>
    <row r="110" spans="1:15" ht="15" hidden="1" x14ac:dyDescent="0.25">
      <c r="A110" s="2">
        <f t="shared" si="10"/>
        <v>0.49500000000000033</v>
      </c>
      <c r="B110" s="2">
        <f t="shared" si="0"/>
        <v>653.15</v>
      </c>
      <c r="C110" s="2">
        <f t="shared" si="1"/>
        <v>1.1638453314326442</v>
      </c>
      <c r="D110" s="2">
        <f t="shared" si="2"/>
        <v>-0.24914755718456286</v>
      </c>
      <c r="E110" s="2">
        <f t="shared" si="3"/>
        <v>3.7366747987382154E-2</v>
      </c>
      <c r="F110" s="2">
        <f t="shared" si="4"/>
        <v>0.27800000000000002</v>
      </c>
      <c r="G110" s="2">
        <f t="shared" si="5"/>
        <v>-2.0745038336050014E-4</v>
      </c>
      <c r="H110" s="2">
        <f t="shared" si="6"/>
        <v>0.90067361298732684</v>
      </c>
      <c r="I110" s="2">
        <f t="shared" si="7"/>
        <v>2.8036601552034451E-3</v>
      </c>
      <c r="J110" s="2">
        <f t="shared" si="8"/>
        <v>1.4400563756931271</v>
      </c>
      <c r="K110" s="2">
        <f t="shared" si="11"/>
        <v>85.740660850403074</v>
      </c>
      <c r="L110" s="2">
        <f t="shared" si="9"/>
        <v>1.5988659542459471</v>
      </c>
      <c r="M110" s="2">
        <f t="shared" si="12"/>
        <v>95.19615054117223</v>
      </c>
      <c r="N110" s="1"/>
      <c r="O110" s="1"/>
    </row>
    <row r="111" spans="1:15" ht="15" hidden="1" x14ac:dyDescent="0.25">
      <c r="A111" s="2">
        <f t="shared" si="10"/>
        <v>0.50000000000000033</v>
      </c>
      <c r="B111" s="2">
        <f t="shared" si="0"/>
        <v>653.15</v>
      </c>
      <c r="C111" s="2">
        <f t="shared" si="1"/>
        <v>1.1638453314326442</v>
      </c>
      <c r="D111" s="2">
        <f t="shared" si="2"/>
        <v>-0.24914755718456286</v>
      </c>
      <c r="E111" s="2">
        <f t="shared" si="3"/>
        <v>3.7366747987382154E-2</v>
      </c>
      <c r="F111" s="2">
        <f t="shared" si="4"/>
        <v>0.27800000000000002</v>
      </c>
      <c r="G111" s="2">
        <f t="shared" si="5"/>
        <v>-2.0745038336050014E-4</v>
      </c>
      <c r="H111" s="2">
        <f t="shared" si="6"/>
        <v>0.90067361298732684</v>
      </c>
      <c r="I111" s="2">
        <f t="shared" si="7"/>
        <v>2.8036601552034451E-3</v>
      </c>
      <c r="J111" s="2">
        <f t="shared" si="8"/>
        <v>1.4593213439298247</v>
      </c>
      <c r="K111" s="2">
        <f t="shared" si="11"/>
        <v>87.199982194332904</v>
      </c>
      <c r="L111" s="2">
        <f t="shared" si="9"/>
        <v>1.6202554653395385</v>
      </c>
      <c r="M111" s="2">
        <f t="shared" si="12"/>
        <v>96.81640600651177</v>
      </c>
      <c r="N111" s="1"/>
      <c r="O111" s="1"/>
    </row>
    <row r="112" spans="1:15" ht="15" hidden="1" x14ac:dyDescent="0.25">
      <c r="A112" s="2">
        <f t="shared" si="10"/>
        <v>0.50500000000000034</v>
      </c>
      <c r="B112" s="2">
        <f t="shared" si="0"/>
        <v>653.15</v>
      </c>
      <c r="C112" s="2">
        <f t="shared" si="1"/>
        <v>1.1638453314326442</v>
      </c>
      <c r="D112" s="2">
        <f t="shared" si="2"/>
        <v>-0.24914755718456286</v>
      </c>
      <c r="E112" s="2">
        <f t="shared" si="3"/>
        <v>3.7366747987382154E-2</v>
      </c>
      <c r="F112" s="2">
        <f t="shared" si="4"/>
        <v>0.27800000000000002</v>
      </c>
      <c r="G112" s="2">
        <f t="shared" si="5"/>
        <v>-2.0745038336050014E-4</v>
      </c>
      <c r="H112" s="2">
        <f t="shared" si="6"/>
        <v>0.90067361298732684</v>
      </c>
      <c r="I112" s="2">
        <f t="shared" si="7"/>
        <v>2.8036601552034451E-3</v>
      </c>
      <c r="J112" s="2">
        <f t="shared" si="8"/>
        <v>1.4789755034440311</v>
      </c>
      <c r="K112" s="2">
        <f t="shared" si="11"/>
        <v>88.678957697776937</v>
      </c>
      <c r="L112" s="2">
        <f t="shared" si="9"/>
        <v>1.6420770877683541</v>
      </c>
      <c r="M112" s="2">
        <f t="shared" si="12"/>
        <v>98.458483094280126</v>
      </c>
      <c r="N112" s="1"/>
      <c r="O112" s="1"/>
    </row>
    <row r="113" spans="1:15" ht="15" hidden="1" x14ac:dyDescent="0.25">
      <c r="A113" s="2">
        <f t="shared" si="10"/>
        <v>0.51000000000000034</v>
      </c>
      <c r="B113" s="2">
        <f t="shared" si="0"/>
        <v>653.15</v>
      </c>
      <c r="C113" s="2">
        <f t="shared" si="1"/>
        <v>1.1638453314326442</v>
      </c>
      <c r="D113" s="2">
        <f t="shared" si="2"/>
        <v>-0.24914755718456286</v>
      </c>
      <c r="E113" s="2">
        <f t="shared" si="3"/>
        <v>3.7366747987382154E-2</v>
      </c>
      <c r="F113" s="2">
        <f t="shared" si="4"/>
        <v>0.27800000000000002</v>
      </c>
      <c r="G113" s="2">
        <f t="shared" si="5"/>
        <v>-2.0745038336050014E-4</v>
      </c>
      <c r="H113" s="2">
        <f t="shared" si="6"/>
        <v>0.90067361298732684</v>
      </c>
      <c r="I113" s="2">
        <f t="shared" si="7"/>
        <v>2.8036601552034451E-3</v>
      </c>
      <c r="J113" s="2">
        <f t="shared" si="8"/>
        <v>1.4990307682544461</v>
      </c>
      <c r="K113" s="2">
        <f t="shared" si="11"/>
        <v>90.17798846603138</v>
      </c>
      <c r="L113" s="2">
        <f t="shared" si="9"/>
        <v>1.6643440494304103</v>
      </c>
      <c r="M113" s="2">
        <f t="shared" si="12"/>
        <v>100.12282714371054</v>
      </c>
      <c r="N113" s="1"/>
      <c r="O113" s="1"/>
    </row>
    <row r="114" spans="1:15" ht="15" hidden="1" x14ac:dyDescent="0.25">
      <c r="A114" s="2">
        <f t="shared" si="10"/>
        <v>0.51500000000000035</v>
      </c>
      <c r="B114" s="2">
        <f t="shared" si="0"/>
        <v>653.15</v>
      </c>
      <c r="C114" s="2">
        <f t="shared" si="1"/>
        <v>1.1638453314326442</v>
      </c>
      <c r="D114" s="2">
        <f t="shared" si="2"/>
        <v>-0.24914755718456286</v>
      </c>
      <c r="E114" s="2">
        <f t="shared" si="3"/>
        <v>3.7366747987382154E-2</v>
      </c>
      <c r="F114" s="2">
        <f t="shared" si="4"/>
        <v>0.27800000000000002</v>
      </c>
      <c r="G114" s="2">
        <f t="shared" si="5"/>
        <v>-2.0745038336050014E-4</v>
      </c>
      <c r="H114" s="2">
        <f t="shared" si="6"/>
        <v>0.90067361298732684</v>
      </c>
      <c r="I114" s="2">
        <f t="shared" si="7"/>
        <v>2.8036601552034451E-3</v>
      </c>
      <c r="J114" s="2">
        <f t="shared" si="8"/>
        <v>1.5194995436795082</v>
      </c>
      <c r="K114" s="2">
        <f t="shared" si="11"/>
        <v>91.697488009710895</v>
      </c>
      <c r="L114" s="2">
        <f t="shared" si="9"/>
        <v>1.6870701237040555</v>
      </c>
      <c r="M114" s="2">
        <f t="shared" si="12"/>
        <v>101.8098972674146</v>
      </c>
      <c r="N114" s="1"/>
      <c r="O114" s="1"/>
    </row>
    <row r="115" spans="1:15" ht="15" hidden="1" x14ac:dyDescent="0.25">
      <c r="A115" s="2">
        <f t="shared" si="10"/>
        <v>0.52000000000000035</v>
      </c>
      <c r="B115" s="2">
        <f t="shared" si="0"/>
        <v>653.15</v>
      </c>
      <c r="C115" s="2">
        <f t="shared" si="1"/>
        <v>1.1638453314326442</v>
      </c>
      <c r="D115" s="2">
        <f t="shared" si="2"/>
        <v>-0.24914755718456286</v>
      </c>
      <c r="E115" s="2">
        <f t="shared" si="3"/>
        <v>3.7366747987382154E-2</v>
      </c>
      <c r="F115" s="2">
        <f t="shared" si="4"/>
        <v>0.27800000000000002</v>
      </c>
      <c r="G115" s="2">
        <f t="shared" si="5"/>
        <v>-2.0745038336050014E-4</v>
      </c>
      <c r="H115" s="2">
        <f t="shared" si="6"/>
        <v>0.90067361298732684</v>
      </c>
      <c r="I115" s="2">
        <f t="shared" si="7"/>
        <v>2.8036601552034451E-3</v>
      </c>
      <c r="J115" s="2">
        <f t="shared" si="8"/>
        <v>1.5403947519259262</v>
      </c>
      <c r="K115" s="2">
        <f t="shared" si="11"/>
        <v>93.237882761636826</v>
      </c>
      <c r="L115" s="2">
        <f t="shared" si="9"/>
        <v>1.7102696578584022</v>
      </c>
      <c r="M115" s="2">
        <f t="shared" si="12"/>
        <v>103.520166925273</v>
      </c>
      <c r="N115" s="1"/>
      <c r="O115" s="1"/>
    </row>
    <row r="116" spans="1:15" ht="15" hidden="1" x14ac:dyDescent="0.25">
      <c r="A116" s="2">
        <f t="shared" si="10"/>
        <v>0.52500000000000036</v>
      </c>
      <c r="B116" s="2">
        <f t="shared" si="0"/>
        <v>653.15</v>
      </c>
      <c r="C116" s="2">
        <f t="shared" si="1"/>
        <v>1.1638453314326442</v>
      </c>
      <c r="D116" s="2">
        <f t="shared" si="2"/>
        <v>-0.24914755718456286</v>
      </c>
      <c r="E116" s="2">
        <f t="shared" si="3"/>
        <v>3.7366747987382154E-2</v>
      </c>
      <c r="F116" s="2">
        <f t="shared" si="4"/>
        <v>0.27800000000000002</v>
      </c>
      <c r="G116" s="2">
        <f t="shared" si="5"/>
        <v>-2.0745038336050014E-4</v>
      </c>
      <c r="H116" s="2">
        <f t="shared" si="6"/>
        <v>0.90067361298732684</v>
      </c>
      <c r="I116" s="2">
        <f t="shared" si="7"/>
        <v>2.8036601552034451E-3</v>
      </c>
      <c r="J116" s="2">
        <f t="shared" si="8"/>
        <v>1.5617298592933215</v>
      </c>
      <c r="K116" s="2">
        <f t="shared" si="11"/>
        <v>94.799612620930148</v>
      </c>
      <c r="L116" s="2">
        <f t="shared" si="9"/>
        <v>1.733957603258103</v>
      </c>
      <c r="M116" s="2">
        <f t="shared" si="12"/>
        <v>105.25412452853111</v>
      </c>
      <c r="N116" s="1"/>
      <c r="O116" s="1"/>
    </row>
    <row r="117" spans="1:15" ht="15" hidden="1" x14ac:dyDescent="0.25">
      <c r="A117" s="2">
        <f t="shared" si="10"/>
        <v>0.53000000000000036</v>
      </c>
      <c r="B117" s="2">
        <f t="shared" si="0"/>
        <v>653.15</v>
      </c>
      <c r="C117" s="2">
        <f t="shared" si="1"/>
        <v>1.1638453314326442</v>
      </c>
      <c r="D117" s="2">
        <f t="shared" si="2"/>
        <v>-0.24914755718456286</v>
      </c>
      <c r="E117" s="2">
        <f t="shared" si="3"/>
        <v>3.7366747987382154E-2</v>
      </c>
      <c r="F117" s="2">
        <f t="shared" si="4"/>
        <v>0.27800000000000002</v>
      </c>
      <c r="G117" s="2">
        <f t="shared" si="5"/>
        <v>-2.0745038336050014E-4</v>
      </c>
      <c r="H117" s="2">
        <f t="shared" si="6"/>
        <v>0.90067361298732684</v>
      </c>
      <c r="I117" s="2">
        <f t="shared" si="7"/>
        <v>2.8036601552034451E-3</v>
      </c>
      <c r="J117" s="2">
        <f t="shared" si="8"/>
        <v>1.5835189051153418</v>
      </c>
      <c r="K117" s="2">
        <f t="shared" si="11"/>
        <v>96.383131526045489</v>
      </c>
      <c r="L117" s="2">
        <f t="shared" si="9"/>
        <v>1.7581495474960951</v>
      </c>
      <c r="M117" s="2">
        <f t="shared" si="12"/>
        <v>107.0122740760272</v>
      </c>
      <c r="N117" s="1"/>
      <c r="O117" s="1"/>
    </row>
    <row r="118" spans="1:15" ht="15" hidden="1" x14ac:dyDescent="0.25">
      <c r="A118" s="2">
        <f t="shared" si="10"/>
        <v>0.53500000000000036</v>
      </c>
      <c r="B118" s="2">
        <f t="shared" si="0"/>
        <v>653.15</v>
      </c>
      <c r="C118" s="2">
        <f t="shared" si="1"/>
        <v>1.1638453314326442</v>
      </c>
      <c r="D118" s="2">
        <f t="shared" si="2"/>
        <v>-0.24914755718456286</v>
      </c>
      <c r="E118" s="2">
        <f t="shared" si="3"/>
        <v>3.7366747987382154E-2</v>
      </c>
      <c r="F118" s="2">
        <f t="shared" si="4"/>
        <v>0.27800000000000002</v>
      </c>
      <c r="G118" s="2">
        <f t="shared" si="5"/>
        <v>-2.0745038336050014E-4</v>
      </c>
      <c r="H118" s="2">
        <f t="shared" si="6"/>
        <v>0.90067361298732684</v>
      </c>
      <c r="I118" s="2">
        <f t="shared" si="7"/>
        <v>2.8036601552034451E-3</v>
      </c>
      <c r="J118" s="2">
        <f t="shared" si="8"/>
        <v>1.6057765325679438</v>
      </c>
      <c r="K118" s="2">
        <f t="shared" si="11"/>
        <v>97.988908058613433</v>
      </c>
      <c r="L118" s="2">
        <f t="shared" si="9"/>
        <v>1.7828617485994209</v>
      </c>
      <c r="M118" s="2">
        <f t="shared" si="12"/>
        <v>108.79513582462661</v>
      </c>
      <c r="N118" s="1"/>
      <c r="O118" s="1"/>
    </row>
    <row r="119" spans="1:15" ht="15" hidden="1" x14ac:dyDescent="0.25">
      <c r="A119" s="2">
        <f t="shared" si="10"/>
        <v>0.54000000000000037</v>
      </c>
      <c r="B119" s="2">
        <f t="shared" si="0"/>
        <v>653.15</v>
      </c>
      <c r="C119" s="2">
        <f t="shared" si="1"/>
        <v>1.1638453314326442</v>
      </c>
      <c r="D119" s="2">
        <f t="shared" si="2"/>
        <v>-0.24914755718456286</v>
      </c>
      <c r="E119" s="2">
        <f t="shared" si="3"/>
        <v>3.7366747987382154E-2</v>
      </c>
      <c r="F119" s="2">
        <f t="shared" si="4"/>
        <v>0.27800000000000002</v>
      </c>
      <c r="G119" s="2">
        <f t="shared" si="5"/>
        <v>-2.0745038336050014E-4</v>
      </c>
      <c r="H119" s="2">
        <f t="shared" si="6"/>
        <v>0.90067361298732684</v>
      </c>
      <c r="I119" s="2">
        <f t="shared" si="7"/>
        <v>2.8036601552034451E-3</v>
      </c>
      <c r="J119" s="2">
        <f t="shared" si="8"/>
        <v>1.6285180214869064</v>
      </c>
      <c r="K119" s="2">
        <f t="shared" si="11"/>
        <v>99.617426080100344</v>
      </c>
      <c r="L119" s="2">
        <f t="shared" si="9"/>
        <v>1.8081111714658622</v>
      </c>
      <c r="M119" s="2">
        <f t="shared" si="12"/>
        <v>110.60324699609248</v>
      </c>
      <c r="N119" s="1"/>
      <c r="O119" s="1"/>
    </row>
    <row r="120" spans="1:15" ht="15" hidden="1" x14ac:dyDescent="0.25">
      <c r="A120" s="2">
        <f t="shared" si="10"/>
        <v>0.54500000000000037</v>
      </c>
      <c r="B120" s="2">
        <f t="shared" si="0"/>
        <v>653.15</v>
      </c>
      <c r="C120" s="2">
        <f t="shared" si="1"/>
        <v>1.1638453314326442</v>
      </c>
      <c r="D120" s="2">
        <f t="shared" si="2"/>
        <v>-0.24914755718456286</v>
      </c>
      <c r="E120" s="2">
        <f t="shared" si="3"/>
        <v>3.7366747987382154E-2</v>
      </c>
      <c r="F120" s="2">
        <f t="shared" si="4"/>
        <v>0.27800000000000002</v>
      </c>
      <c r="G120" s="2">
        <f t="shared" si="5"/>
        <v>-2.0745038336050014E-4</v>
      </c>
      <c r="H120" s="2">
        <f t="shared" si="6"/>
        <v>0.90067361298732684</v>
      </c>
      <c r="I120" s="2">
        <f t="shared" si="7"/>
        <v>2.8036601552034451E-3</v>
      </c>
      <c r="J120" s="2">
        <f t="shared" si="8"/>
        <v>1.6517593233491428</v>
      </c>
      <c r="K120" s="2">
        <f t="shared" si="11"/>
        <v>101.26918540344948</v>
      </c>
      <c r="L120" s="2">
        <f t="shared" si="9"/>
        <v>1.8339155267029943</v>
      </c>
      <c r="M120" s="2">
        <f t="shared" si="12"/>
        <v>112.43716252279548</v>
      </c>
      <c r="N120" s="1"/>
      <c r="O120" s="1"/>
    </row>
    <row r="121" spans="1:15" ht="15" hidden="1" x14ac:dyDescent="0.25">
      <c r="A121" s="2">
        <f t="shared" si="10"/>
        <v>0.55000000000000038</v>
      </c>
      <c r="B121" s="2">
        <f t="shared" si="0"/>
        <v>653.15</v>
      </c>
      <c r="C121" s="2">
        <f t="shared" si="1"/>
        <v>1.1638453314326442</v>
      </c>
      <c r="D121" s="2">
        <f t="shared" si="2"/>
        <v>-0.24914755718456286</v>
      </c>
      <c r="E121" s="2">
        <f t="shared" si="3"/>
        <v>3.7366747987382154E-2</v>
      </c>
      <c r="F121" s="2">
        <f t="shared" si="4"/>
        <v>0.27800000000000002</v>
      </c>
      <c r="G121" s="2">
        <f t="shared" si="5"/>
        <v>-2.0745038336050014E-4</v>
      </c>
      <c r="H121" s="2">
        <f t="shared" si="6"/>
        <v>0.90067361298732684</v>
      </c>
      <c r="I121" s="2">
        <f t="shared" si="7"/>
        <v>2.8036601552034451E-3</v>
      </c>
      <c r="J121" s="2">
        <f t="shared" si="8"/>
        <v>1.6755170985860954</v>
      </c>
      <c r="K121" s="2">
        <f t="shared" si="11"/>
        <v>102.94470250203558</v>
      </c>
      <c r="L121" s="2">
        <f t="shared" si="9"/>
        <v>1.8602933120565075</v>
      </c>
      <c r="M121" s="2">
        <f t="shared" si="12"/>
        <v>114.29745583485199</v>
      </c>
      <c r="N121" s="1"/>
      <c r="O121" s="1"/>
    </row>
    <row r="122" spans="1:15" ht="15" hidden="1" x14ac:dyDescent="0.25">
      <c r="A122" s="2">
        <f t="shared" si="10"/>
        <v>0.55500000000000038</v>
      </c>
      <c r="B122" s="2">
        <f t="shared" si="0"/>
        <v>653.15</v>
      </c>
      <c r="C122" s="2">
        <f t="shared" si="1"/>
        <v>1.1638453314326442</v>
      </c>
      <c r="D122" s="2">
        <f t="shared" si="2"/>
        <v>-0.24914755718456286</v>
      </c>
      <c r="E122" s="2">
        <f t="shared" si="3"/>
        <v>3.7366747987382154E-2</v>
      </c>
      <c r="F122" s="2">
        <f t="shared" si="4"/>
        <v>0.27800000000000002</v>
      </c>
      <c r="G122" s="2">
        <f t="shared" si="5"/>
        <v>-2.0745038336050014E-4</v>
      </c>
      <c r="H122" s="2">
        <f t="shared" si="6"/>
        <v>0.90067361298732684</v>
      </c>
      <c r="I122" s="2">
        <f t="shared" si="7"/>
        <v>2.8036601552034451E-3</v>
      </c>
      <c r="J122" s="2">
        <f t="shared" si="8"/>
        <v>1.6998087564126427</v>
      </c>
      <c r="K122" s="2">
        <f t="shared" si="11"/>
        <v>104.64451125844822</v>
      </c>
      <c r="L122" s="2">
        <f t="shared" si="9"/>
        <v>1.8872638566314481</v>
      </c>
      <c r="M122" s="2">
        <f t="shared" si="12"/>
        <v>116.18471969148344</v>
      </c>
      <c r="N122" s="1"/>
      <c r="O122" s="1"/>
    </row>
    <row r="123" spans="1:15" ht="15" hidden="1" x14ac:dyDescent="0.25">
      <c r="A123" s="2">
        <f t="shared" si="10"/>
        <v>0.56000000000000039</v>
      </c>
      <c r="B123" s="2">
        <f t="shared" si="0"/>
        <v>653.15</v>
      </c>
      <c r="C123" s="2">
        <f t="shared" si="1"/>
        <v>1.1638453314326442</v>
      </c>
      <c r="D123" s="2">
        <f t="shared" si="2"/>
        <v>-0.24914755718456286</v>
      </c>
      <c r="E123" s="2">
        <f t="shared" si="3"/>
        <v>3.7366747987382154E-2</v>
      </c>
      <c r="F123" s="2">
        <f t="shared" si="4"/>
        <v>0.27800000000000002</v>
      </c>
      <c r="G123" s="2">
        <f t="shared" si="5"/>
        <v>-2.0745038336050014E-4</v>
      </c>
      <c r="H123" s="2">
        <f t="shared" si="6"/>
        <v>0.90067361298732684</v>
      </c>
      <c r="I123" s="2">
        <f t="shared" si="7"/>
        <v>2.8036601552034451E-3</v>
      </c>
      <c r="J123" s="2">
        <f t="shared" si="8"/>
        <v>1.7246524973716117</v>
      </c>
      <c r="K123" s="2">
        <f t="shared" si="11"/>
        <v>106.36916375581983</v>
      </c>
      <c r="L123" s="2">
        <f t="shared" si="9"/>
        <v>1.9148473681285458</v>
      </c>
      <c r="M123" s="2">
        <f t="shared" si="12"/>
        <v>118.09956705961199</v>
      </c>
      <c r="N123" s="1"/>
      <c r="O123" s="1"/>
    </row>
    <row r="124" spans="1:15" ht="15" hidden="1" x14ac:dyDescent="0.25">
      <c r="A124" s="2">
        <f t="shared" si="10"/>
        <v>0.56500000000000039</v>
      </c>
      <c r="B124" s="2">
        <f t="shared" si="0"/>
        <v>653.15</v>
      </c>
      <c r="C124" s="2">
        <f t="shared" si="1"/>
        <v>1.1638453314326442</v>
      </c>
      <c r="D124" s="2">
        <f t="shared" si="2"/>
        <v>-0.24914755718456286</v>
      </c>
      <c r="E124" s="2">
        <f t="shared" si="3"/>
        <v>3.7366747987382154E-2</v>
      </c>
      <c r="F124" s="2">
        <f t="shared" si="4"/>
        <v>0.27800000000000002</v>
      </c>
      <c r="G124" s="2">
        <f t="shared" si="5"/>
        <v>-2.0745038336050014E-4</v>
      </c>
      <c r="H124" s="2">
        <f t="shared" si="6"/>
        <v>0.90067361298732684</v>
      </c>
      <c r="I124" s="2">
        <f t="shared" si="7"/>
        <v>2.8036601552034451E-3</v>
      </c>
      <c r="J124" s="2">
        <f t="shared" si="8"/>
        <v>1.7500673588123956</v>
      </c>
      <c r="K124" s="2">
        <f t="shared" si="11"/>
        <v>108.11923111463223</v>
      </c>
      <c r="L124" s="2">
        <f t="shared" si="9"/>
        <v>1.9430649833382212</v>
      </c>
      <c r="M124" s="2">
        <f t="shared" si="12"/>
        <v>120.0426320429502</v>
      </c>
      <c r="N124" s="1"/>
      <c r="O124" s="1"/>
    </row>
    <row r="125" spans="1:15" ht="15" hidden="1" x14ac:dyDescent="0.25">
      <c r="A125" s="2">
        <f t="shared" si="10"/>
        <v>0.5700000000000004</v>
      </c>
      <c r="B125" s="2">
        <f t="shared" si="0"/>
        <v>653.15</v>
      </c>
      <c r="C125" s="2">
        <f t="shared" si="1"/>
        <v>1.1638453314326442</v>
      </c>
      <c r="D125" s="2">
        <f t="shared" si="2"/>
        <v>-0.24914755718456286</v>
      </c>
      <c r="E125" s="2">
        <f t="shared" si="3"/>
        <v>3.7366747987382154E-2</v>
      </c>
      <c r="F125" s="2">
        <f t="shared" si="4"/>
        <v>0.27800000000000002</v>
      </c>
      <c r="G125" s="2">
        <f t="shared" si="5"/>
        <v>-2.0745038336050014E-4</v>
      </c>
      <c r="H125" s="2">
        <f t="shared" si="6"/>
        <v>0.90067361298732684</v>
      </c>
      <c r="I125" s="2">
        <f t="shared" si="7"/>
        <v>2.8036601552034451E-3</v>
      </c>
      <c r="J125" s="2">
        <f t="shared" si="8"/>
        <v>1.7760732635425001</v>
      </c>
      <c r="K125" s="2">
        <f t="shared" si="11"/>
        <v>109.89530437817473</v>
      </c>
      <c r="L125" s="2">
        <f t="shared" si="9"/>
        <v>1.9719388221574232</v>
      </c>
      <c r="M125" s="2">
        <f t="shared" si="12"/>
        <v>122.01457086510763</v>
      </c>
      <c r="N125" s="1"/>
      <c r="O125" s="1"/>
    </row>
    <row r="126" spans="1:15" ht="15" hidden="1" x14ac:dyDescent="0.25">
      <c r="A126" s="2">
        <f t="shared" si="10"/>
        <v>0.5750000000000004</v>
      </c>
      <c r="B126" s="2">
        <f t="shared" si="0"/>
        <v>653.15</v>
      </c>
      <c r="C126" s="2">
        <f t="shared" si="1"/>
        <v>1.1638453314326442</v>
      </c>
      <c r="D126" s="2">
        <f t="shared" si="2"/>
        <v>-0.24914755718456286</v>
      </c>
      <c r="E126" s="2">
        <f t="shared" si="3"/>
        <v>3.7366747987382154E-2</v>
      </c>
      <c r="F126" s="2">
        <f t="shared" si="4"/>
        <v>0.27800000000000002</v>
      </c>
      <c r="G126" s="2">
        <f t="shared" si="5"/>
        <v>-2.0745038336050014E-4</v>
      </c>
      <c r="H126" s="2">
        <f t="shared" si="6"/>
        <v>0.90067361298732684</v>
      </c>
      <c r="I126" s="2">
        <f t="shared" si="7"/>
        <v>2.8036601552034451E-3</v>
      </c>
      <c r="J126" s="2">
        <f t="shared" si="8"/>
        <v>1.8026910719133136</v>
      </c>
      <c r="K126" s="2">
        <f t="shared" si="11"/>
        <v>111.69799545008804</v>
      </c>
      <c r="L126" s="2">
        <f t="shared" si="9"/>
        <v>2.0014920454194307</v>
      </c>
      <c r="M126" s="2">
        <f t="shared" si="12"/>
        <v>124.01606291052705</v>
      </c>
      <c r="N126" s="1"/>
      <c r="O126" s="1"/>
    </row>
    <row r="127" spans="1:15" ht="15" x14ac:dyDescent="0.25">
      <c r="A127" s="2">
        <f t="shared" si="10"/>
        <v>0.5800000000000004</v>
      </c>
      <c r="B127" s="2">
        <f t="shared" si="0"/>
        <v>653.15</v>
      </c>
      <c r="C127" s="2">
        <f t="shared" si="1"/>
        <v>1.1638453314326442</v>
      </c>
      <c r="D127" s="2">
        <f t="shared" si="2"/>
        <v>-0.24914755718456286</v>
      </c>
      <c r="E127" s="2">
        <f t="shared" si="3"/>
        <v>3.7366747987382154E-2</v>
      </c>
      <c r="F127" s="2">
        <f t="shared" si="4"/>
        <v>0.27800000000000002</v>
      </c>
      <c r="G127" s="2">
        <f t="shared" si="5"/>
        <v>-2.0745038336050014E-4</v>
      </c>
      <c r="H127" s="2">
        <f t="shared" si="6"/>
        <v>0.90067361298732684</v>
      </c>
      <c r="I127" s="2">
        <f t="shared" si="7"/>
        <v>2.8036601552034451E-3</v>
      </c>
      <c r="J127" s="2">
        <f t="shared" si="8"/>
        <v>1.8299426376262888</v>
      </c>
      <c r="K127" s="2">
        <f t="shared" si="11"/>
        <v>113.52793808771433</v>
      </c>
      <c r="L127" s="2">
        <f t="shared" si="9"/>
        <v>2.031748916854343</v>
      </c>
      <c r="M127" s="2">
        <f t="shared" si="12"/>
        <v>126.04781182738139</v>
      </c>
      <c r="N127" s="1"/>
      <c r="O127" s="1"/>
    </row>
    <row r="128" spans="1:15" ht="15" x14ac:dyDescent="0.25">
      <c r="A128" s="2">
        <f t="shared" si="10"/>
        <v>0.58500000000000041</v>
      </c>
      <c r="B128" s="2">
        <f t="shared" si="0"/>
        <v>653.15</v>
      </c>
      <c r="C128" s="2">
        <f t="shared" si="1"/>
        <v>1.1638453314326442</v>
      </c>
      <c r="D128" s="2">
        <f t="shared" si="2"/>
        <v>-0.24914755718456286</v>
      </c>
      <c r="E128" s="2">
        <f t="shared" si="3"/>
        <v>3.7366747987382154E-2</v>
      </c>
      <c r="F128" s="2">
        <f t="shared" si="4"/>
        <v>0.27800000000000002</v>
      </c>
      <c r="G128" s="2">
        <f t="shared" si="5"/>
        <v>-2.0745038336050014E-4</v>
      </c>
      <c r="H128" s="2">
        <f t="shared" si="6"/>
        <v>0.90067361298732684</v>
      </c>
      <c r="I128" s="2">
        <f t="shared" si="7"/>
        <v>2.8036601552034451E-3</v>
      </c>
      <c r="J128" s="2">
        <f t="shared" si="8"/>
        <v>1.8578508675733119</v>
      </c>
      <c r="K128" s="2">
        <f t="shared" si="11"/>
        <v>115.38578895528764</v>
      </c>
      <c r="L128" s="2">
        <f t="shared" si="9"/>
        <v>2.0627348695286503</v>
      </c>
      <c r="M128" s="2">
        <f t="shared" si="12"/>
        <v>128.11054669691003</v>
      </c>
      <c r="N128" s="1"/>
      <c r="O128" s="1"/>
    </row>
    <row r="129" spans="1:15" ht="15" x14ac:dyDescent="0.25">
      <c r="A129" s="2">
        <f t="shared" si="10"/>
        <v>0.59000000000000041</v>
      </c>
      <c r="B129" s="2">
        <f t="shared" si="0"/>
        <v>653.15</v>
      </c>
      <c r="C129" s="2">
        <f t="shared" si="1"/>
        <v>1.1638453314326442</v>
      </c>
      <c r="D129" s="2">
        <f t="shared" si="2"/>
        <v>-0.24914755718456286</v>
      </c>
      <c r="E129" s="2">
        <f t="shared" si="3"/>
        <v>3.7366747987382154E-2</v>
      </c>
      <c r="F129" s="2">
        <f t="shared" si="4"/>
        <v>0.27800000000000002</v>
      </c>
      <c r="G129" s="2">
        <f t="shared" si="5"/>
        <v>-2.0745038336050014E-4</v>
      </c>
      <c r="H129" s="2">
        <f t="shared" si="6"/>
        <v>0.90067361298732684</v>
      </c>
      <c r="I129" s="2">
        <f t="shared" si="7"/>
        <v>2.8036601552034451E-3</v>
      </c>
      <c r="J129" s="2">
        <f t="shared" si="8"/>
        <v>1.8864397860556275</v>
      </c>
      <c r="K129" s="2">
        <f t="shared" si="11"/>
        <v>117.27222874134327</v>
      </c>
      <c r="L129" s="2">
        <f t="shared" si="9"/>
        <v>2.0944765771462337</v>
      </c>
      <c r="M129" s="2">
        <f t="shared" si="12"/>
        <v>130.20502327405626</v>
      </c>
      <c r="N129" s="1"/>
      <c r="O129" s="1"/>
    </row>
    <row r="130" spans="1:15" ht="15" x14ac:dyDescent="0.25">
      <c r="A130" s="2">
        <f t="shared" si="10"/>
        <v>0.59500000000000042</v>
      </c>
      <c r="B130" s="2">
        <f t="shared" si="0"/>
        <v>653.15</v>
      </c>
      <c r="C130" s="2">
        <f t="shared" si="1"/>
        <v>1.1638453314326442</v>
      </c>
      <c r="D130" s="2">
        <f t="shared" si="2"/>
        <v>-0.24914755718456286</v>
      </c>
      <c r="E130" s="2">
        <f t="shared" si="3"/>
        <v>3.7366747987382154E-2</v>
      </c>
      <c r="F130" s="2">
        <f t="shared" si="4"/>
        <v>0.27800000000000002</v>
      </c>
      <c r="G130" s="2">
        <f t="shared" si="5"/>
        <v>-2.0745038336050014E-4</v>
      </c>
      <c r="H130" s="2">
        <f t="shared" si="6"/>
        <v>0.90067361298732684</v>
      </c>
      <c r="I130" s="2">
        <f t="shared" si="7"/>
        <v>2.8036601552034451E-3</v>
      </c>
      <c r="J130" s="2">
        <f t="shared" si="8"/>
        <v>1.9157346037597294</v>
      </c>
      <c r="K130" s="2">
        <f t="shared" si="11"/>
        <v>119.187963345103</v>
      </c>
      <c r="L130" s="2">
        <f t="shared" si="9"/>
        <v>2.1270020306309179</v>
      </c>
      <c r="M130" s="2">
        <f t="shared" si="12"/>
        <v>132.33202530468716</v>
      </c>
      <c r="N130" s="1"/>
      <c r="O130" s="1"/>
    </row>
    <row r="131" spans="1:15" ht="15" x14ac:dyDescent="0.25">
      <c r="A131" s="21">
        <f t="shared" si="10"/>
        <v>0.60000000000000042</v>
      </c>
      <c r="B131" s="22">
        <f t="shared" si="0"/>
        <v>653.15</v>
      </c>
      <c r="C131" s="21">
        <f t="shared" si="1"/>
        <v>1.1638453314326442</v>
      </c>
      <c r="D131" s="21">
        <f t="shared" si="2"/>
        <v>-0.24914755718456286</v>
      </c>
      <c r="E131" s="21">
        <f t="shared" si="3"/>
        <v>3.7366747987382154E-2</v>
      </c>
      <c r="F131" s="21">
        <f t="shared" si="4"/>
        <v>0.27800000000000002</v>
      </c>
      <c r="G131" s="21">
        <f t="shared" si="5"/>
        <v>-2.0745038336050014E-4</v>
      </c>
      <c r="H131" s="21">
        <f t="shared" si="6"/>
        <v>0.90067361298732684</v>
      </c>
      <c r="I131" s="21">
        <f t="shared" si="7"/>
        <v>2.8036601552034451E-3</v>
      </c>
      <c r="J131" s="23">
        <f t="shared" si="8"/>
        <v>1.9457617919064338</v>
      </c>
      <c r="K131" s="24">
        <f t="shared" si="11"/>
        <v>121.13372513700944</v>
      </c>
      <c r="L131" s="25">
        <f t="shared" si="9"/>
        <v>2.1603406204527191</v>
      </c>
      <c r="M131" s="24">
        <f t="shared" si="12"/>
        <v>134.49236592513989</v>
      </c>
      <c r="N131" s="26"/>
      <c r="O131" s="27"/>
    </row>
    <row r="132" spans="1:15" ht="15" x14ac:dyDescent="0.25">
      <c r="A132" s="2">
        <f t="shared" si="10"/>
        <v>0.60500000000000043</v>
      </c>
      <c r="B132" s="2">
        <f t="shared" si="0"/>
        <v>653.15</v>
      </c>
      <c r="C132" s="2">
        <f t="shared" si="1"/>
        <v>1.1638453314326442</v>
      </c>
      <c r="D132" s="2">
        <f t="shared" si="2"/>
        <v>-0.24914755718456286</v>
      </c>
      <c r="E132" s="2">
        <f t="shared" si="3"/>
        <v>3.7366747987382154E-2</v>
      </c>
      <c r="F132" s="2">
        <f t="shared" si="4"/>
        <v>0.27800000000000002</v>
      </c>
      <c r="G132" s="2">
        <f t="shared" si="5"/>
        <v>-2.0745038336050014E-4</v>
      </c>
      <c r="H132" s="2">
        <f t="shared" si="6"/>
        <v>0.90067361298732684</v>
      </c>
      <c r="I132" s="2">
        <f t="shared" si="7"/>
        <v>2.8036601552034451E-3</v>
      </c>
      <c r="J132" s="2">
        <f t="shared" si="8"/>
        <v>1.9765491620315356</v>
      </c>
      <c r="K132" s="2">
        <f t="shared" si="11"/>
        <v>123.11027429904097</v>
      </c>
      <c r="L132" s="2">
        <f t="shared" si="9"/>
        <v>2.1945232252067175</v>
      </c>
      <c r="M132" s="2">
        <f t="shared" si="12"/>
        <v>136.68688915034662</v>
      </c>
      <c r="N132" s="1"/>
      <c r="O132" s="1"/>
    </row>
    <row r="135" spans="1:15" ht="15" x14ac:dyDescent="0.25">
      <c r="A135" s="1"/>
      <c r="B135" s="1"/>
      <c r="C135" s="42" t="s">
        <v>25</v>
      </c>
      <c r="D135" s="43"/>
      <c r="E135" s="43"/>
      <c r="F135" s="43"/>
      <c r="G135" s="43"/>
      <c r="H135" s="1" t="s">
        <v>26</v>
      </c>
      <c r="I135" s="1"/>
      <c r="J135" s="1"/>
      <c r="K135" s="1"/>
      <c r="L135" s="42" t="s">
        <v>27</v>
      </c>
      <c r="M135" s="43"/>
    </row>
    <row r="136" spans="1:15" ht="15" x14ac:dyDescent="0.25">
      <c r="A136" s="1" t="s">
        <v>28</v>
      </c>
      <c r="B136" s="1" t="s">
        <v>29</v>
      </c>
      <c r="C136" s="1" t="s">
        <v>30</v>
      </c>
      <c r="D136" s="1" t="s">
        <v>31</v>
      </c>
      <c r="E136" s="1" t="s">
        <v>32</v>
      </c>
      <c r="F136" s="1" t="s">
        <v>33</v>
      </c>
      <c r="G136" s="1" t="s">
        <v>34</v>
      </c>
      <c r="H136" s="1" t="s">
        <v>35</v>
      </c>
      <c r="I136" s="1" t="s">
        <v>36</v>
      </c>
      <c r="J136" s="1" t="s">
        <v>37</v>
      </c>
      <c r="K136" s="1" t="s">
        <v>38</v>
      </c>
      <c r="L136" s="1" t="s">
        <v>37</v>
      </c>
      <c r="M136" s="1" t="s">
        <v>38</v>
      </c>
    </row>
    <row r="137" spans="1:15" ht="15" x14ac:dyDescent="0.25">
      <c r="A137" s="2">
        <v>0</v>
      </c>
      <c r="B137" s="2">
        <f t="shared" ref="B137:B258" si="13">$O$4</f>
        <v>773.15</v>
      </c>
      <c r="C137" s="2">
        <f t="shared" ref="C137:C258" si="14">B137/$B$3</f>
        <v>1.3776728439059158</v>
      </c>
      <c r="D137" s="2">
        <f t="shared" ref="D137:D258" si="15">0.1445-(0.33/C137)-(0.1385/(C137^2))-(0.0121/(C137^3))-(0.000607/(C137^8))</f>
        <v>-0.17268087812114627</v>
      </c>
      <c r="E137" s="2">
        <f t="shared" ref="E137:E258" si="16">0.0637+0.331/C137^2-0.423/C137^3-0.008/C137^8</f>
        <v>7.5707704261701675E-2</v>
      </c>
      <c r="F137" s="2">
        <f t="shared" ref="F137:F258" si="17">$B$4</f>
        <v>0.27800000000000002</v>
      </c>
      <c r="G137" s="2">
        <f t="shared" ref="G137:G258" si="18">(8.314*$B$3/$D$3)*(D137+F137*E137)</f>
        <v>-1.3174992565583498E-4</v>
      </c>
      <c r="H137" s="2">
        <f t="shared" ref="H137:H258" si="19">1+G137*$O$1/(8.314*B137)</f>
        <v>0.94670948142778544</v>
      </c>
      <c r="I137" s="2">
        <f t="shared" ref="I137:I258" si="20">1.17*10^15*EXP(-53000/((2*B137)))</f>
        <v>1.5225904666070591</v>
      </c>
      <c r="J137" s="2">
        <f t="shared" ref="J137:J258" si="21">$O$5*(8.314*B137*H137*$B$7*(1+A137)/(I137*$O$1*(1-A137)))</f>
        <v>1.1144794359955541E-3</v>
      </c>
      <c r="K137" s="2">
        <f>J137</f>
        <v>1.1144794359955541E-3</v>
      </c>
      <c r="L137" s="2">
        <f t="shared" ref="L137:L258" si="22">$O$5*(8.314*B137*$B$7*(1+A137)/(I137*$O$1*(1-A137)))</f>
        <v>1.1772137681717789E-3</v>
      </c>
      <c r="M137" s="2">
        <f>L137</f>
        <v>1.1772137681717789E-3</v>
      </c>
    </row>
    <row r="138" spans="1:15" ht="15" x14ac:dyDescent="0.25">
      <c r="A138" s="2">
        <f t="shared" ref="A138:A258" si="23">A137+$O$5</f>
        <v>5.0000000000000001E-3</v>
      </c>
      <c r="B138" s="2">
        <f t="shared" si="13"/>
        <v>773.15</v>
      </c>
      <c r="C138" s="2">
        <f t="shared" si="14"/>
        <v>1.3776728439059158</v>
      </c>
      <c r="D138" s="2">
        <f t="shared" si="15"/>
        <v>-0.17268087812114627</v>
      </c>
      <c r="E138" s="2">
        <f t="shared" si="16"/>
        <v>7.5707704261701675E-2</v>
      </c>
      <c r="F138" s="2">
        <f t="shared" si="17"/>
        <v>0.27800000000000002</v>
      </c>
      <c r="G138" s="2">
        <f t="shared" si="18"/>
        <v>-1.3174992565583498E-4</v>
      </c>
      <c r="H138" s="2">
        <f t="shared" si="19"/>
        <v>0.94670948142778544</v>
      </c>
      <c r="I138" s="2">
        <f t="shared" si="20"/>
        <v>1.5225904666070591</v>
      </c>
      <c r="J138" s="2">
        <f t="shared" si="21"/>
        <v>1.1256802343472682E-3</v>
      </c>
      <c r="K138" s="2">
        <f t="shared" ref="K138:K258" si="24">J138+K137</f>
        <v>2.2401596703428223E-3</v>
      </c>
      <c r="L138" s="2">
        <f t="shared" si="22"/>
        <v>1.1890450623242592E-3</v>
      </c>
      <c r="M138" s="2">
        <f t="shared" ref="M138:M258" si="25">L138+M137</f>
        <v>2.3662588304960378E-3</v>
      </c>
    </row>
    <row r="139" spans="1:15" ht="15" x14ac:dyDescent="0.25">
      <c r="A139" s="2">
        <f t="shared" si="23"/>
        <v>0.01</v>
      </c>
      <c r="B139" s="2">
        <f t="shared" si="13"/>
        <v>773.15</v>
      </c>
      <c r="C139" s="2">
        <f t="shared" si="14"/>
        <v>1.3776728439059158</v>
      </c>
      <c r="D139" s="2">
        <f t="shared" si="15"/>
        <v>-0.17268087812114627</v>
      </c>
      <c r="E139" s="2">
        <f t="shared" si="16"/>
        <v>7.5707704261701675E-2</v>
      </c>
      <c r="F139" s="2">
        <f t="shared" si="17"/>
        <v>0.27800000000000002</v>
      </c>
      <c r="G139" s="2">
        <f t="shared" si="18"/>
        <v>-1.3174992565583498E-4</v>
      </c>
      <c r="H139" s="2">
        <f t="shared" si="19"/>
        <v>0.94670948142778544</v>
      </c>
      <c r="I139" s="2">
        <f t="shared" si="20"/>
        <v>1.5225904666070591</v>
      </c>
      <c r="J139" s="2">
        <f t="shared" si="21"/>
        <v>1.1369941720762724E-3</v>
      </c>
      <c r="K139" s="2">
        <f t="shared" si="24"/>
        <v>3.3771538424190945E-3</v>
      </c>
      <c r="L139" s="2">
        <f t="shared" si="22"/>
        <v>1.2009958644984815E-3</v>
      </c>
      <c r="M139" s="2">
        <f t="shared" si="25"/>
        <v>3.5672546949945191E-3</v>
      </c>
    </row>
    <row r="140" spans="1:15" ht="15" x14ac:dyDescent="0.25">
      <c r="A140" s="2">
        <f t="shared" si="23"/>
        <v>1.4999999999999999E-2</v>
      </c>
      <c r="B140" s="2">
        <f t="shared" si="13"/>
        <v>773.15</v>
      </c>
      <c r="C140" s="2">
        <f t="shared" si="14"/>
        <v>1.3776728439059158</v>
      </c>
      <c r="D140" s="2">
        <f t="shared" si="15"/>
        <v>-0.17268087812114627</v>
      </c>
      <c r="E140" s="2">
        <f t="shared" si="16"/>
        <v>7.5707704261701675E-2</v>
      </c>
      <c r="F140" s="2">
        <f t="shared" si="17"/>
        <v>0.27800000000000002</v>
      </c>
      <c r="G140" s="2">
        <f t="shared" si="18"/>
        <v>-1.3174992565583498E-4</v>
      </c>
      <c r="H140" s="2">
        <f t="shared" si="19"/>
        <v>0.94670948142778544</v>
      </c>
      <c r="I140" s="2">
        <f t="shared" si="20"/>
        <v>1.5225904666070591</v>
      </c>
      <c r="J140" s="2">
        <f t="shared" si="21"/>
        <v>1.1484229721172459E-3</v>
      </c>
      <c r="K140" s="2">
        <f t="shared" si="24"/>
        <v>4.5255768145363402E-3</v>
      </c>
      <c r="L140" s="2">
        <f t="shared" si="22"/>
        <v>1.213067994613559E-3</v>
      </c>
      <c r="M140" s="2">
        <f t="shared" si="25"/>
        <v>4.7803226896080782E-3</v>
      </c>
    </row>
    <row r="141" spans="1:15" ht="15" x14ac:dyDescent="0.25">
      <c r="A141" s="2">
        <f t="shared" si="23"/>
        <v>0.02</v>
      </c>
      <c r="B141" s="2">
        <f t="shared" si="13"/>
        <v>773.15</v>
      </c>
      <c r="C141" s="2">
        <f t="shared" si="14"/>
        <v>1.3776728439059158</v>
      </c>
      <c r="D141" s="2">
        <f t="shared" si="15"/>
        <v>-0.17268087812114627</v>
      </c>
      <c r="E141" s="2">
        <f t="shared" si="16"/>
        <v>7.5707704261701675E-2</v>
      </c>
      <c r="F141" s="2">
        <f t="shared" si="17"/>
        <v>0.27800000000000002</v>
      </c>
      <c r="G141" s="2">
        <f t="shared" si="18"/>
        <v>-1.3174992565583498E-4</v>
      </c>
      <c r="H141" s="2">
        <f t="shared" si="19"/>
        <v>0.94670948142778544</v>
      </c>
      <c r="I141" s="2">
        <f t="shared" si="20"/>
        <v>1.5225904666070591</v>
      </c>
      <c r="J141" s="2">
        <f t="shared" si="21"/>
        <v>1.1599683925668013E-3</v>
      </c>
      <c r="K141" s="2">
        <f t="shared" si="24"/>
        <v>5.6855452071031412E-3</v>
      </c>
      <c r="L141" s="2">
        <f t="shared" si="22"/>
        <v>1.2252633097298107E-3</v>
      </c>
      <c r="M141" s="2">
        <f t="shared" si="25"/>
        <v>6.0055859993378893E-3</v>
      </c>
    </row>
    <row r="142" spans="1:15" ht="15" hidden="1" x14ac:dyDescent="0.25">
      <c r="A142" s="2">
        <f t="shared" si="23"/>
        <v>2.5000000000000001E-2</v>
      </c>
      <c r="B142" s="2">
        <f t="shared" si="13"/>
        <v>773.15</v>
      </c>
      <c r="C142" s="2">
        <f t="shared" si="14"/>
        <v>1.3776728439059158</v>
      </c>
      <c r="D142" s="2">
        <f t="shared" si="15"/>
        <v>-0.17268087812114627</v>
      </c>
      <c r="E142" s="2">
        <f t="shared" si="16"/>
        <v>7.5707704261701675E-2</v>
      </c>
      <c r="F142" s="2">
        <f t="shared" si="17"/>
        <v>0.27800000000000002</v>
      </c>
      <c r="G142" s="2">
        <f t="shared" si="18"/>
        <v>-1.3174992565583498E-4</v>
      </c>
      <c r="H142" s="2">
        <f t="shared" si="19"/>
        <v>0.94670948142778544</v>
      </c>
      <c r="I142" s="2">
        <f t="shared" si="20"/>
        <v>1.5225904666070591</v>
      </c>
      <c r="J142" s="2">
        <f t="shared" si="21"/>
        <v>1.1716322275850696E-3</v>
      </c>
      <c r="K142" s="2">
        <f t="shared" si="24"/>
        <v>6.8571774346882107E-3</v>
      </c>
      <c r="L142" s="2">
        <f t="shared" si="22"/>
        <v>1.2375837050011009E-3</v>
      </c>
      <c r="M142" s="2">
        <f t="shared" si="25"/>
        <v>7.2431697043389906E-3</v>
      </c>
    </row>
    <row r="143" spans="1:15" ht="15" hidden="1" x14ac:dyDescent="0.25">
      <c r="A143" s="2">
        <f t="shared" si="23"/>
        <v>3.0000000000000002E-2</v>
      </c>
      <c r="B143" s="2">
        <f t="shared" si="13"/>
        <v>773.15</v>
      </c>
      <c r="C143" s="2">
        <f t="shared" si="14"/>
        <v>1.3776728439059158</v>
      </c>
      <c r="D143" s="2">
        <f t="shared" si="15"/>
        <v>-0.17268087812114627</v>
      </c>
      <c r="E143" s="2">
        <f t="shared" si="16"/>
        <v>7.5707704261701675E-2</v>
      </c>
      <c r="F143" s="2">
        <f t="shared" si="17"/>
        <v>0.27800000000000002</v>
      </c>
      <c r="G143" s="2">
        <f t="shared" si="18"/>
        <v>-1.3174992565583498E-4</v>
      </c>
      <c r="H143" s="2">
        <f t="shared" si="19"/>
        <v>0.94670948142778544</v>
      </c>
      <c r="I143" s="2">
        <f t="shared" si="20"/>
        <v>1.5225904666070591</v>
      </c>
      <c r="J143" s="2">
        <f t="shared" si="21"/>
        <v>1.183416308325176E-3</v>
      </c>
      <c r="K143" s="2">
        <f t="shared" si="24"/>
        <v>8.0405937430133873E-3</v>
      </c>
      <c r="L143" s="2">
        <f t="shared" si="22"/>
        <v>1.2500311146566312E-3</v>
      </c>
      <c r="M143" s="2">
        <f t="shared" si="25"/>
        <v>8.4932008189956224E-3</v>
      </c>
    </row>
    <row r="144" spans="1:15" ht="15" hidden="1" x14ac:dyDescent="0.25">
      <c r="A144" s="2">
        <f t="shared" si="23"/>
        <v>3.5000000000000003E-2</v>
      </c>
      <c r="B144" s="2">
        <f t="shared" si="13"/>
        <v>773.15</v>
      </c>
      <c r="C144" s="2">
        <f t="shared" si="14"/>
        <v>1.3776728439059158</v>
      </c>
      <c r="D144" s="2">
        <f t="shared" si="15"/>
        <v>-0.17268087812114627</v>
      </c>
      <c r="E144" s="2">
        <f t="shared" si="16"/>
        <v>7.5707704261701675E-2</v>
      </c>
      <c r="F144" s="2">
        <f t="shared" si="17"/>
        <v>0.27800000000000002</v>
      </c>
      <c r="G144" s="2">
        <f t="shared" si="18"/>
        <v>-1.3174992565583498E-4</v>
      </c>
      <c r="H144" s="2">
        <f t="shared" si="19"/>
        <v>0.94670948142778544</v>
      </c>
      <c r="I144" s="2">
        <f t="shared" si="20"/>
        <v>1.5225904666070591</v>
      </c>
      <c r="J144" s="2">
        <f t="shared" si="21"/>
        <v>1.1953225038916046E-3</v>
      </c>
      <c r="K144" s="2">
        <f t="shared" si="24"/>
        <v>9.2359162469049915E-3</v>
      </c>
      <c r="L144" s="2">
        <f t="shared" si="22"/>
        <v>1.2626075130132549E-3</v>
      </c>
      <c r="M144" s="2">
        <f t="shared" si="25"/>
        <v>9.7558083320088765E-3</v>
      </c>
    </row>
    <row r="145" spans="1:13" ht="15" hidden="1" x14ac:dyDescent="0.25">
      <c r="A145" s="2">
        <f t="shared" si="23"/>
        <v>0.04</v>
      </c>
      <c r="B145" s="2">
        <f t="shared" si="13"/>
        <v>773.15</v>
      </c>
      <c r="C145" s="2">
        <f t="shared" si="14"/>
        <v>1.3776728439059158</v>
      </c>
      <c r="D145" s="2">
        <f t="shared" si="15"/>
        <v>-0.17268087812114627</v>
      </c>
      <c r="E145" s="2">
        <f t="shared" si="16"/>
        <v>7.5707704261701675E-2</v>
      </c>
      <c r="F145" s="2">
        <f t="shared" si="17"/>
        <v>0.27800000000000002</v>
      </c>
      <c r="G145" s="2">
        <f t="shared" si="18"/>
        <v>-1.3174992565583498E-4</v>
      </c>
      <c r="H145" s="2">
        <f t="shared" si="19"/>
        <v>0.94670948142778544</v>
      </c>
      <c r="I145" s="2">
        <f t="shared" si="20"/>
        <v>1.5225904666070591</v>
      </c>
      <c r="J145" s="2">
        <f t="shared" si="21"/>
        <v>1.207352722328517E-3</v>
      </c>
      <c r="K145" s="2">
        <f t="shared" si="24"/>
        <v>1.0443268969233508E-2</v>
      </c>
      <c r="L145" s="2">
        <f t="shared" si="22"/>
        <v>1.2753149155194275E-3</v>
      </c>
      <c r="M145" s="2">
        <f t="shared" si="25"/>
        <v>1.1031123247528304E-2</v>
      </c>
    </row>
    <row r="146" spans="1:13" ht="15" hidden="1" x14ac:dyDescent="0.25">
      <c r="A146" s="2">
        <f t="shared" si="23"/>
        <v>4.4999999999999998E-2</v>
      </c>
      <c r="B146" s="2">
        <f t="shared" si="13"/>
        <v>773.15</v>
      </c>
      <c r="C146" s="2">
        <f t="shared" si="14"/>
        <v>1.3776728439059158</v>
      </c>
      <c r="D146" s="2">
        <f t="shared" si="15"/>
        <v>-0.17268087812114627</v>
      </c>
      <c r="E146" s="2">
        <f t="shared" si="16"/>
        <v>7.5707704261701675E-2</v>
      </c>
      <c r="F146" s="2">
        <f t="shared" si="17"/>
        <v>0.27800000000000002</v>
      </c>
      <c r="G146" s="2">
        <f t="shared" si="18"/>
        <v>-1.3174992565583498E-4</v>
      </c>
      <c r="H146" s="2">
        <f t="shared" si="19"/>
        <v>0.94670948142778544</v>
      </c>
      <c r="I146" s="2">
        <f t="shared" si="20"/>
        <v>1.5225904666070591</v>
      </c>
      <c r="J146" s="2">
        <f t="shared" si="21"/>
        <v>1.219508911639114E-3</v>
      </c>
      <c r="K146" s="2">
        <f t="shared" si="24"/>
        <v>1.1662777880872622E-2</v>
      </c>
      <c r="L146" s="2">
        <f t="shared" si="22"/>
        <v>1.2881553798319465E-3</v>
      </c>
      <c r="M146" s="2">
        <f t="shared" si="25"/>
        <v>1.231927862736025E-2</v>
      </c>
    </row>
    <row r="147" spans="1:13" ht="15" hidden="1" x14ac:dyDescent="0.25">
      <c r="A147" s="2">
        <f t="shared" si="23"/>
        <v>4.9999999999999996E-2</v>
      </c>
      <c r="B147" s="2">
        <f t="shared" si="13"/>
        <v>773.15</v>
      </c>
      <c r="C147" s="2">
        <f t="shared" si="14"/>
        <v>1.3776728439059158</v>
      </c>
      <c r="D147" s="2">
        <f t="shared" si="15"/>
        <v>-0.17268087812114627</v>
      </c>
      <c r="E147" s="2">
        <f t="shared" si="16"/>
        <v>7.5707704261701675E-2</v>
      </c>
      <c r="F147" s="2">
        <f t="shared" si="17"/>
        <v>0.27800000000000002</v>
      </c>
      <c r="G147" s="2">
        <f t="shared" si="18"/>
        <v>-1.3174992565583498E-4</v>
      </c>
      <c r="H147" s="2">
        <f t="shared" si="19"/>
        <v>0.94670948142778544</v>
      </c>
      <c r="I147" s="2">
        <f t="shared" si="20"/>
        <v>1.5225904666070591</v>
      </c>
      <c r="J147" s="2">
        <f t="shared" si="21"/>
        <v>1.2317930608371915E-3</v>
      </c>
      <c r="K147" s="2">
        <f t="shared" si="24"/>
        <v>1.2894570941709814E-2</v>
      </c>
      <c r="L147" s="2">
        <f t="shared" si="22"/>
        <v>1.301131006926703E-3</v>
      </c>
      <c r="M147" s="2">
        <f t="shared" si="25"/>
        <v>1.3620409634286953E-2</v>
      </c>
    </row>
    <row r="148" spans="1:13" ht="15" hidden="1" x14ac:dyDescent="0.25">
      <c r="A148" s="2">
        <f t="shared" si="23"/>
        <v>5.4999999999999993E-2</v>
      </c>
      <c r="B148" s="2">
        <f t="shared" si="13"/>
        <v>773.15</v>
      </c>
      <c r="C148" s="2">
        <f t="shared" si="14"/>
        <v>1.3776728439059158</v>
      </c>
      <c r="D148" s="2">
        <f t="shared" si="15"/>
        <v>-0.17268087812114627</v>
      </c>
      <c r="E148" s="2">
        <f t="shared" si="16"/>
        <v>7.5707704261701675E-2</v>
      </c>
      <c r="F148" s="2">
        <f t="shared" si="17"/>
        <v>0.27800000000000002</v>
      </c>
      <c r="G148" s="2">
        <f t="shared" si="18"/>
        <v>-1.3174992565583498E-4</v>
      </c>
      <c r="H148" s="2">
        <f t="shared" si="19"/>
        <v>0.94670948142778544</v>
      </c>
      <c r="I148" s="2">
        <f t="shared" si="20"/>
        <v>1.5225904666070591</v>
      </c>
      <c r="J148" s="2">
        <f t="shared" si="21"/>
        <v>1.2442072010320734E-3</v>
      </c>
      <c r="K148" s="2">
        <f t="shared" si="24"/>
        <v>1.4138778142741887E-2</v>
      </c>
      <c r="L148" s="2">
        <f t="shared" si="22"/>
        <v>1.3142439422446843E-3</v>
      </c>
      <c r="M148" s="2">
        <f t="shared" si="25"/>
        <v>1.4934653576531638E-2</v>
      </c>
    </row>
    <row r="149" spans="1:13" ht="15" hidden="1" x14ac:dyDescent="0.25">
      <c r="A149" s="2">
        <f t="shared" si="23"/>
        <v>5.9999999999999991E-2</v>
      </c>
      <c r="B149" s="2">
        <f t="shared" si="13"/>
        <v>773.15</v>
      </c>
      <c r="C149" s="2">
        <f t="shared" si="14"/>
        <v>1.3776728439059158</v>
      </c>
      <c r="D149" s="2">
        <f t="shared" si="15"/>
        <v>-0.17268087812114627</v>
      </c>
      <c r="E149" s="2">
        <f t="shared" si="16"/>
        <v>7.5707704261701675E-2</v>
      </c>
      <c r="F149" s="2">
        <f t="shared" si="17"/>
        <v>0.27800000000000002</v>
      </c>
      <c r="G149" s="2">
        <f t="shared" si="18"/>
        <v>-1.3174992565583498E-4</v>
      </c>
      <c r="H149" s="2">
        <f t="shared" si="19"/>
        <v>0.94670948142778544</v>
      </c>
      <c r="I149" s="2">
        <f t="shared" si="20"/>
        <v>1.5225904666070591</v>
      </c>
      <c r="J149" s="2">
        <f t="shared" si="21"/>
        <v>1.2567534065481779E-3</v>
      </c>
      <c r="K149" s="2">
        <f t="shared" si="24"/>
        <v>1.5395531549290065E-2</v>
      </c>
      <c r="L149" s="2">
        <f t="shared" si="22"/>
        <v>1.327496376874559E-3</v>
      </c>
      <c r="M149" s="2">
        <f t="shared" si="25"/>
        <v>1.6262149953406198E-2</v>
      </c>
    </row>
    <row r="150" spans="1:13" ht="15" hidden="1" x14ac:dyDescent="0.25">
      <c r="A150" s="2">
        <f t="shared" si="23"/>
        <v>6.4999999999999988E-2</v>
      </c>
      <c r="B150" s="2">
        <f t="shared" si="13"/>
        <v>773.15</v>
      </c>
      <c r="C150" s="2">
        <f t="shared" si="14"/>
        <v>1.3776728439059158</v>
      </c>
      <c r="D150" s="2">
        <f t="shared" si="15"/>
        <v>-0.17268087812114627</v>
      </c>
      <c r="E150" s="2">
        <f t="shared" si="16"/>
        <v>7.5707704261701675E-2</v>
      </c>
      <c r="F150" s="2">
        <f t="shared" si="17"/>
        <v>0.27800000000000002</v>
      </c>
      <c r="G150" s="2">
        <f t="shared" si="18"/>
        <v>-1.3174992565583498E-4</v>
      </c>
      <c r="H150" s="2">
        <f t="shared" si="19"/>
        <v>0.94670948142778544</v>
      </c>
      <c r="I150" s="2">
        <f t="shared" si="20"/>
        <v>1.5225904666070591</v>
      </c>
      <c r="J150" s="2">
        <f t="shared" si="21"/>
        <v>1.2694337960804975E-3</v>
      </c>
      <c r="K150" s="2">
        <f t="shared" si="24"/>
        <v>1.6664965345370562E-2</v>
      </c>
      <c r="L150" s="2">
        <f t="shared" si="22"/>
        <v>1.3408905487732026E-3</v>
      </c>
      <c r="M150" s="2">
        <f t="shared" si="25"/>
        <v>1.7603040502179399E-2</v>
      </c>
    </row>
    <row r="151" spans="1:13" ht="15" hidden="1" x14ac:dyDescent="0.25">
      <c r="A151" s="2">
        <f t="shared" si="23"/>
        <v>6.9999999999999993E-2</v>
      </c>
      <c r="B151" s="2">
        <f t="shared" si="13"/>
        <v>773.15</v>
      </c>
      <c r="C151" s="2">
        <f t="shared" si="14"/>
        <v>1.3776728439059158</v>
      </c>
      <c r="D151" s="2">
        <f t="shared" si="15"/>
        <v>-0.17268087812114627</v>
      </c>
      <c r="E151" s="2">
        <f t="shared" si="16"/>
        <v>7.5707704261701675E-2</v>
      </c>
      <c r="F151" s="2">
        <f t="shared" si="17"/>
        <v>0.27800000000000002</v>
      </c>
      <c r="G151" s="2">
        <f t="shared" si="18"/>
        <v>-1.3174992565583498E-4</v>
      </c>
      <c r="H151" s="2">
        <f t="shared" si="19"/>
        <v>0.94670948142778544</v>
      </c>
      <c r="I151" s="2">
        <f t="shared" si="20"/>
        <v>1.5225904666070591</v>
      </c>
      <c r="J151" s="2">
        <f t="shared" si="21"/>
        <v>1.2822505338873581E-3</v>
      </c>
      <c r="K151" s="2">
        <f t="shared" si="24"/>
        <v>1.7947215879257919E-2</v>
      </c>
      <c r="L151" s="2">
        <f t="shared" si="22"/>
        <v>1.354428744025595E-3</v>
      </c>
      <c r="M151" s="2">
        <f t="shared" si="25"/>
        <v>1.8957469246204995E-2</v>
      </c>
    </row>
    <row r="152" spans="1:13" ht="15" hidden="1" x14ac:dyDescent="0.25">
      <c r="A152" s="2">
        <f t="shared" si="23"/>
        <v>7.4999999999999997E-2</v>
      </c>
      <c r="B152" s="2">
        <f t="shared" si="13"/>
        <v>773.15</v>
      </c>
      <c r="C152" s="2">
        <f t="shared" si="14"/>
        <v>1.3776728439059158</v>
      </c>
      <c r="D152" s="2">
        <f t="shared" si="15"/>
        <v>-0.17268087812114627</v>
      </c>
      <c r="E152" s="2">
        <f t="shared" si="16"/>
        <v>7.5707704261701675E-2</v>
      </c>
      <c r="F152" s="2">
        <f t="shared" si="17"/>
        <v>0.27800000000000002</v>
      </c>
      <c r="G152" s="2">
        <f t="shared" si="18"/>
        <v>-1.3174992565583498E-4</v>
      </c>
      <c r="H152" s="2">
        <f t="shared" si="19"/>
        <v>0.94670948142778544</v>
      </c>
      <c r="I152" s="2">
        <f t="shared" si="20"/>
        <v>1.5225904666070591</v>
      </c>
      <c r="J152" s="2">
        <f t="shared" si="21"/>
        <v>1.2952058310218601E-3</v>
      </c>
      <c r="K152" s="2">
        <f t="shared" si="24"/>
        <v>1.9242421710279779E-2</v>
      </c>
      <c r="L152" s="2">
        <f t="shared" si="22"/>
        <v>1.3681132981455807E-3</v>
      </c>
      <c r="M152" s="2">
        <f t="shared" si="25"/>
        <v>2.0325582544350577E-2</v>
      </c>
    </row>
    <row r="153" spans="1:13" ht="15" hidden="1" x14ac:dyDescent="0.25">
      <c r="A153" s="2">
        <f t="shared" si="23"/>
        <v>0.08</v>
      </c>
      <c r="B153" s="2">
        <f t="shared" si="13"/>
        <v>773.15</v>
      </c>
      <c r="C153" s="2">
        <f t="shared" si="14"/>
        <v>1.3776728439059158</v>
      </c>
      <c r="D153" s="2">
        <f t="shared" si="15"/>
        <v>-0.17268087812114627</v>
      </c>
      <c r="E153" s="2">
        <f t="shared" si="16"/>
        <v>7.5707704261701675E-2</v>
      </c>
      <c r="F153" s="2">
        <f t="shared" si="17"/>
        <v>0.27800000000000002</v>
      </c>
      <c r="G153" s="2">
        <f t="shared" si="18"/>
        <v>-1.3174992565583498E-4</v>
      </c>
      <c r="H153" s="2">
        <f t="shared" si="19"/>
        <v>0.94670948142778544</v>
      </c>
      <c r="I153" s="2">
        <f t="shared" si="20"/>
        <v>1.5225904666070591</v>
      </c>
      <c r="J153" s="2">
        <f t="shared" si="21"/>
        <v>1.3083019466034766E-3</v>
      </c>
      <c r="K153" s="2">
        <f t="shared" si="24"/>
        <v>2.0550723656883256E-2</v>
      </c>
      <c r="L153" s="2">
        <f t="shared" si="22"/>
        <v>1.3819465974190448E-3</v>
      </c>
      <c r="M153" s="2">
        <f t="shared" si="25"/>
        <v>2.170752914176962E-2</v>
      </c>
    </row>
    <row r="154" spans="1:13" ht="15" hidden="1" x14ac:dyDescent="0.25">
      <c r="A154" s="2">
        <f t="shared" si="23"/>
        <v>8.5000000000000006E-2</v>
      </c>
      <c r="B154" s="2">
        <f t="shared" si="13"/>
        <v>773.15</v>
      </c>
      <c r="C154" s="2">
        <f t="shared" si="14"/>
        <v>1.3776728439059158</v>
      </c>
      <c r="D154" s="2">
        <f t="shared" si="15"/>
        <v>-0.17268087812114627</v>
      </c>
      <c r="E154" s="2">
        <f t="shared" si="16"/>
        <v>7.5707704261701675E-2</v>
      </c>
      <c r="F154" s="2">
        <f t="shared" si="17"/>
        <v>0.27800000000000002</v>
      </c>
      <c r="G154" s="2">
        <f t="shared" si="18"/>
        <v>-1.3174992565583498E-4</v>
      </c>
      <c r="H154" s="2">
        <f t="shared" si="19"/>
        <v>0.94670948142778544</v>
      </c>
      <c r="I154" s="2">
        <f t="shared" si="20"/>
        <v>1.5225904666070591</v>
      </c>
      <c r="J154" s="2">
        <f t="shared" si="21"/>
        <v>1.32154118913134E-3</v>
      </c>
      <c r="K154" s="2">
        <f t="shared" si="24"/>
        <v>2.1872264846014598E-2</v>
      </c>
      <c r="L154" s="2">
        <f t="shared" si="22"/>
        <v>1.3959310802911257E-3</v>
      </c>
      <c r="M154" s="2">
        <f t="shared" si="25"/>
        <v>2.3103460222060744E-2</v>
      </c>
    </row>
    <row r="155" spans="1:13" ht="15" hidden="1" x14ac:dyDescent="0.25">
      <c r="A155" s="2">
        <f t="shared" si="23"/>
        <v>9.0000000000000011E-2</v>
      </c>
      <c r="B155" s="2">
        <f t="shared" si="13"/>
        <v>773.15</v>
      </c>
      <c r="C155" s="2">
        <f t="shared" si="14"/>
        <v>1.3776728439059158</v>
      </c>
      <c r="D155" s="2">
        <f t="shared" si="15"/>
        <v>-0.17268087812114627</v>
      </c>
      <c r="E155" s="2">
        <f t="shared" si="16"/>
        <v>7.5707704261701675E-2</v>
      </c>
      <c r="F155" s="2">
        <f t="shared" si="17"/>
        <v>0.27800000000000002</v>
      </c>
      <c r="G155" s="2">
        <f t="shared" si="18"/>
        <v>-1.3174992565583498E-4</v>
      </c>
      <c r="H155" s="2">
        <f t="shared" si="19"/>
        <v>0.94670948142778544</v>
      </c>
      <c r="I155" s="2">
        <f t="shared" si="20"/>
        <v>1.5225904666070591</v>
      </c>
      <c r="J155" s="2">
        <f t="shared" si="21"/>
        <v>1.3349259178408286E-3</v>
      </c>
      <c r="K155" s="2">
        <f t="shared" si="24"/>
        <v>2.3207190763855426E-2</v>
      </c>
      <c r="L155" s="2">
        <f t="shared" si="22"/>
        <v>1.4100692387991639E-3</v>
      </c>
      <c r="M155" s="2">
        <f t="shared" si="25"/>
        <v>2.4513529460859908E-2</v>
      </c>
    </row>
    <row r="156" spans="1:13" ht="15" hidden="1" x14ac:dyDescent="0.25">
      <c r="A156" s="2">
        <f t="shared" si="23"/>
        <v>9.5000000000000015E-2</v>
      </c>
      <c r="B156" s="2">
        <f t="shared" si="13"/>
        <v>773.15</v>
      </c>
      <c r="C156" s="2">
        <f t="shared" si="14"/>
        <v>1.3776728439059158</v>
      </c>
      <c r="D156" s="2">
        <f t="shared" si="15"/>
        <v>-0.17268087812114627</v>
      </c>
      <c r="E156" s="2">
        <f t="shared" si="16"/>
        <v>7.5707704261701675E-2</v>
      </c>
      <c r="F156" s="2">
        <f t="shared" si="17"/>
        <v>0.27800000000000002</v>
      </c>
      <c r="G156" s="2">
        <f t="shared" si="18"/>
        <v>-1.3174992565583498E-4</v>
      </c>
      <c r="H156" s="2">
        <f t="shared" si="19"/>
        <v>0.94670948142778544</v>
      </c>
      <c r="I156" s="2">
        <f t="shared" si="20"/>
        <v>1.5225904666070591</v>
      </c>
      <c r="J156" s="2">
        <f t="shared" si="21"/>
        <v>1.3484585441051178E-3</v>
      </c>
      <c r="K156" s="2">
        <f t="shared" si="24"/>
        <v>2.4555649307960545E-2</v>
      </c>
      <c r="L156" s="2">
        <f t="shared" si="22"/>
        <v>1.4243636200531467E-3</v>
      </c>
      <c r="M156" s="2">
        <f t="shared" si="25"/>
        <v>2.5937893080913054E-2</v>
      </c>
    </row>
    <row r="157" spans="1:13" ht="15" hidden="1" x14ac:dyDescent="0.25">
      <c r="A157" s="2">
        <f t="shared" si="23"/>
        <v>0.10000000000000002</v>
      </c>
      <c r="B157" s="2">
        <f t="shared" si="13"/>
        <v>773.15</v>
      </c>
      <c r="C157" s="2">
        <f t="shared" si="14"/>
        <v>1.3776728439059158</v>
      </c>
      <c r="D157" s="2">
        <f t="shared" si="15"/>
        <v>-0.17268087812114627</v>
      </c>
      <c r="E157" s="2">
        <f t="shared" si="16"/>
        <v>7.5707704261701675E-2</v>
      </c>
      <c r="F157" s="2">
        <f t="shared" si="17"/>
        <v>0.27800000000000002</v>
      </c>
      <c r="G157" s="2">
        <f t="shared" si="18"/>
        <v>-1.3174992565583498E-4</v>
      </c>
      <c r="H157" s="2">
        <f t="shared" si="19"/>
        <v>0.94670948142778544</v>
      </c>
      <c r="I157" s="2">
        <f t="shared" si="20"/>
        <v>1.5225904666070591</v>
      </c>
      <c r="J157" s="2">
        <f t="shared" si="21"/>
        <v>1.3621415328834551E-3</v>
      </c>
      <c r="K157" s="2">
        <f t="shared" si="24"/>
        <v>2.5917790840844002E-2</v>
      </c>
      <c r="L157" s="2">
        <f t="shared" si="22"/>
        <v>1.4388168277655077E-3</v>
      </c>
      <c r="M157" s="2">
        <f t="shared" si="25"/>
        <v>2.7376709908678562E-2</v>
      </c>
    </row>
    <row r="158" spans="1:13" ht="15" hidden="1" x14ac:dyDescent="0.25">
      <c r="A158" s="2">
        <f t="shared" si="23"/>
        <v>0.10500000000000002</v>
      </c>
      <c r="B158" s="2">
        <f t="shared" si="13"/>
        <v>773.15</v>
      </c>
      <c r="C158" s="2">
        <f t="shared" si="14"/>
        <v>1.3776728439059158</v>
      </c>
      <c r="D158" s="2">
        <f t="shared" si="15"/>
        <v>-0.17268087812114627</v>
      </c>
      <c r="E158" s="2">
        <f t="shared" si="16"/>
        <v>7.5707704261701675E-2</v>
      </c>
      <c r="F158" s="2">
        <f t="shared" si="17"/>
        <v>0.27800000000000002</v>
      </c>
      <c r="G158" s="2">
        <f t="shared" si="18"/>
        <v>-1.3174992565583498E-4</v>
      </c>
      <c r="H158" s="2">
        <f t="shared" si="19"/>
        <v>0.94670948142778544</v>
      </c>
      <c r="I158" s="2">
        <f t="shared" si="20"/>
        <v>1.5225904666070591</v>
      </c>
      <c r="J158" s="2">
        <f t="shared" si="21"/>
        <v>1.3759774042179746E-3</v>
      </c>
      <c r="K158" s="2">
        <f t="shared" si="24"/>
        <v>2.7293768245061977E-2</v>
      </c>
      <c r="L158" s="2">
        <f t="shared" si="22"/>
        <v>1.4534315238321962E-3</v>
      </c>
      <c r="M158" s="2">
        <f t="shared" si="25"/>
        <v>2.883014143251076E-2</v>
      </c>
    </row>
    <row r="159" spans="1:13" ht="15" hidden="1" x14ac:dyDescent="0.25">
      <c r="A159" s="2">
        <f t="shared" si="23"/>
        <v>0.11000000000000003</v>
      </c>
      <c r="B159" s="2">
        <f t="shared" si="13"/>
        <v>773.15</v>
      </c>
      <c r="C159" s="2">
        <f t="shared" si="14"/>
        <v>1.3776728439059158</v>
      </c>
      <c r="D159" s="2">
        <f t="shared" si="15"/>
        <v>-0.17268087812114627</v>
      </c>
      <c r="E159" s="2">
        <f t="shared" si="16"/>
        <v>7.5707704261701675E-2</v>
      </c>
      <c r="F159" s="2">
        <f t="shared" si="17"/>
        <v>0.27800000000000002</v>
      </c>
      <c r="G159" s="2">
        <f t="shared" si="18"/>
        <v>-1.3174992565583498E-4</v>
      </c>
      <c r="H159" s="2">
        <f t="shared" si="19"/>
        <v>0.94670948142778544</v>
      </c>
      <c r="I159" s="2">
        <f t="shared" si="20"/>
        <v>1.5225904666070591</v>
      </c>
      <c r="J159" s="2">
        <f t="shared" si="21"/>
        <v>1.3899687347809721E-3</v>
      </c>
      <c r="K159" s="2">
        <f t="shared" si="24"/>
        <v>2.8683736979842948E-2</v>
      </c>
      <c r="L159" s="2">
        <f t="shared" si="22"/>
        <v>1.4682104299670504E-3</v>
      </c>
      <c r="M159" s="2">
        <f t="shared" si="25"/>
        <v>3.0298351862477809E-2</v>
      </c>
    </row>
    <row r="160" spans="1:13" ht="15" hidden="1" x14ac:dyDescent="0.25">
      <c r="A160" s="2">
        <f t="shared" si="23"/>
        <v>0.11500000000000003</v>
      </c>
      <c r="B160" s="2">
        <f t="shared" si="13"/>
        <v>773.15</v>
      </c>
      <c r="C160" s="2">
        <f t="shared" si="14"/>
        <v>1.3776728439059158</v>
      </c>
      <c r="D160" s="2">
        <f t="shared" si="15"/>
        <v>-0.17268087812114627</v>
      </c>
      <c r="E160" s="2">
        <f t="shared" si="16"/>
        <v>7.5707704261701675E-2</v>
      </c>
      <c r="F160" s="2">
        <f t="shared" si="17"/>
        <v>0.27800000000000002</v>
      </c>
      <c r="G160" s="2">
        <f t="shared" si="18"/>
        <v>-1.3174992565583498E-4</v>
      </c>
      <c r="H160" s="2">
        <f t="shared" si="19"/>
        <v>0.94670948142778544</v>
      </c>
      <c r="I160" s="2">
        <f t="shared" si="20"/>
        <v>1.5225904666070591</v>
      </c>
      <c r="J160" s="2">
        <f t="shared" si="21"/>
        <v>1.4041181594746247E-3</v>
      </c>
      <c r="K160" s="2">
        <f t="shared" si="24"/>
        <v>3.0087855139317572E-2</v>
      </c>
      <c r="L160" s="2">
        <f t="shared" si="22"/>
        <v>1.4831563293915631E-3</v>
      </c>
      <c r="M160" s="2">
        <f t="shared" si="25"/>
        <v>3.1781508191869375E-2</v>
      </c>
    </row>
    <row r="161" spans="1:13" ht="15" hidden="1" x14ac:dyDescent="0.25">
      <c r="A161" s="2">
        <f t="shared" si="23"/>
        <v>0.12000000000000004</v>
      </c>
      <c r="B161" s="2">
        <f t="shared" si="13"/>
        <v>773.15</v>
      </c>
      <c r="C161" s="2">
        <f t="shared" si="14"/>
        <v>1.3776728439059158</v>
      </c>
      <c r="D161" s="2">
        <f t="shared" si="15"/>
        <v>-0.17268087812114627</v>
      </c>
      <c r="E161" s="2">
        <f t="shared" si="16"/>
        <v>7.5707704261701675E-2</v>
      </c>
      <c r="F161" s="2">
        <f t="shared" si="17"/>
        <v>0.27800000000000002</v>
      </c>
      <c r="G161" s="2">
        <f t="shared" si="18"/>
        <v>-1.3174992565583498E-4</v>
      </c>
      <c r="H161" s="2">
        <f t="shared" si="19"/>
        <v>0.94670948142778544</v>
      </c>
      <c r="I161" s="2">
        <f t="shared" si="20"/>
        <v>1.5225904666070591</v>
      </c>
      <c r="J161" s="2">
        <f t="shared" si="21"/>
        <v>1.4184283730852506E-3</v>
      </c>
      <c r="K161" s="2">
        <f t="shared" si="24"/>
        <v>3.1506283512402825E-2</v>
      </c>
      <c r="L161" s="2">
        <f t="shared" si="22"/>
        <v>1.4982720685822644E-3</v>
      </c>
      <c r="M161" s="2">
        <f t="shared" si="25"/>
        <v>3.3279780260451641E-2</v>
      </c>
    </row>
    <row r="162" spans="1:13" ht="15" hidden="1" x14ac:dyDescent="0.25">
      <c r="A162" s="2">
        <f t="shared" si="23"/>
        <v>0.12500000000000003</v>
      </c>
      <c r="B162" s="2">
        <f t="shared" si="13"/>
        <v>773.15</v>
      </c>
      <c r="C162" s="2">
        <f t="shared" si="14"/>
        <v>1.3776728439059158</v>
      </c>
      <c r="D162" s="2">
        <f t="shared" si="15"/>
        <v>-0.17268087812114627</v>
      </c>
      <c r="E162" s="2">
        <f t="shared" si="16"/>
        <v>7.5707704261701675E-2</v>
      </c>
      <c r="F162" s="2">
        <f t="shared" si="17"/>
        <v>0.27800000000000002</v>
      </c>
      <c r="G162" s="2">
        <f t="shared" si="18"/>
        <v>-1.3174992565583498E-4</v>
      </c>
      <c r="H162" s="2">
        <f t="shared" si="19"/>
        <v>0.94670948142778544</v>
      </c>
      <c r="I162" s="2">
        <f t="shared" si="20"/>
        <v>1.5225904666070591</v>
      </c>
      <c r="J162" s="2">
        <f t="shared" si="21"/>
        <v>1.432902131994284E-3</v>
      </c>
      <c r="K162" s="2">
        <f t="shared" si="24"/>
        <v>3.2939185644397108E-2</v>
      </c>
      <c r="L162" s="2">
        <f t="shared" si="22"/>
        <v>1.5135605590780015E-3</v>
      </c>
      <c r="M162" s="2">
        <f t="shared" si="25"/>
        <v>3.4793340819529645E-2</v>
      </c>
    </row>
    <row r="163" spans="1:13" ht="15" hidden="1" x14ac:dyDescent="0.25">
      <c r="A163" s="2">
        <f t="shared" si="23"/>
        <v>0.13000000000000003</v>
      </c>
      <c r="B163" s="2">
        <f t="shared" si="13"/>
        <v>773.15</v>
      </c>
      <c r="C163" s="2">
        <f t="shared" si="14"/>
        <v>1.3776728439059158</v>
      </c>
      <c r="D163" s="2">
        <f t="shared" si="15"/>
        <v>-0.17268087812114627</v>
      </c>
      <c r="E163" s="2">
        <f t="shared" si="16"/>
        <v>7.5707704261701675E-2</v>
      </c>
      <c r="F163" s="2">
        <f t="shared" si="17"/>
        <v>0.27800000000000002</v>
      </c>
      <c r="G163" s="2">
        <f t="shared" si="18"/>
        <v>-1.3174992565583498E-4</v>
      </c>
      <c r="H163" s="2">
        <f t="shared" si="19"/>
        <v>0.94670948142778544</v>
      </c>
      <c r="I163" s="2">
        <f t="shared" si="20"/>
        <v>1.5225904666070591</v>
      </c>
      <c r="J163" s="2">
        <f t="shared" si="21"/>
        <v>1.4475422559482485E-3</v>
      </c>
      <c r="K163" s="2">
        <f t="shared" si="24"/>
        <v>3.438672790034536E-2</v>
      </c>
      <c r="L163" s="2">
        <f t="shared" si="22"/>
        <v>1.529024779349552E-3</v>
      </c>
      <c r="M163" s="2">
        <f t="shared" si="25"/>
        <v>3.6322365598879199E-2</v>
      </c>
    </row>
    <row r="164" spans="1:13" ht="15" hidden="1" x14ac:dyDescent="0.25">
      <c r="A164" s="2">
        <f t="shared" si="23"/>
        <v>0.13500000000000004</v>
      </c>
      <c r="B164" s="2">
        <f t="shared" si="13"/>
        <v>773.15</v>
      </c>
      <c r="C164" s="2">
        <f t="shared" si="14"/>
        <v>1.3776728439059158</v>
      </c>
      <c r="D164" s="2">
        <f t="shared" si="15"/>
        <v>-0.17268087812114627</v>
      </c>
      <c r="E164" s="2">
        <f t="shared" si="16"/>
        <v>7.5707704261701675E-2</v>
      </c>
      <c r="F164" s="2">
        <f t="shared" si="17"/>
        <v>0.27800000000000002</v>
      </c>
      <c r="G164" s="2">
        <f t="shared" si="18"/>
        <v>-1.3174992565583498E-4</v>
      </c>
      <c r="H164" s="2">
        <f t="shared" si="19"/>
        <v>0.94670948142778544</v>
      </c>
      <c r="I164" s="2">
        <f t="shared" si="20"/>
        <v>1.5225904666070591</v>
      </c>
      <c r="J164" s="2">
        <f t="shared" si="21"/>
        <v>1.4623516298901201E-3</v>
      </c>
      <c r="K164" s="2">
        <f t="shared" si="24"/>
        <v>3.5849079530235479E-2</v>
      </c>
      <c r="L164" s="2">
        <f t="shared" si="22"/>
        <v>1.5446677767340683E-3</v>
      </c>
      <c r="M164" s="2">
        <f t="shared" si="25"/>
        <v>3.7867033375613264E-2</v>
      </c>
    </row>
    <row r="165" spans="1:13" ht="15" hidden="1" x14ac:dyDescent="0.25">
      <c r="A165" s="2">
        <f t="shared" si="23"/>
        <v>0.14000000000000004</v>
      </c>
      <c r="B165" s="2">
        <f t="shared" si="13"/>
        <v>773.15</v>
      </c>
      <c r="C165" s="2">
        <f t="shared" si="14"/>
        <v>1.3776728439059158</v>
      </c>
      <c r="D165" s="2">
        <f t="shared" si="15"/>
        <v>-0.17268087812114627</v>
      </c>
      <c r="E165" s="2">
        <f t="shared" si="16"/>
        <v>7.5707704261701675E-2</v>
      </c>
      <c r="F165" s="2">
        <f t="shared" si="17"/>
        <v>0.27800000000000002</v>
      </c>
      <c r="G165" s="2">
        <f t="shared" si="18"/>
        <v>-1.3174992565583498E-4</v>
      </c>
      <c r="H165" s="2">
        <f t="shared" si="19"/>
        <v>0.94670948142778544</v>
      </c>
      <c r="I165" s="2">
        <f t="shared" si="20"/>
        <v>1.5225904666070591</v>
      </c>
      <c r="J165" s="2">
        <f t="shared" si="21"/>
        <v>1.4773332058545718E-3</v>
      </c>
      <c r="K165" s="2">
        <f t="shared" si="24"/>
        <v>3.7326412736090053E-2</v>
      </c>
      <c r="L165" s="2">
        <f t="shared" si="22"/>
        <v>1.5604926694370094E-3</v>
      </c>
      <c r="M165" s="2">
        <f t="shared" si="25"/>
        <v>3.9427526045050273E-2</v>
      </c>
    </row>
    <row r="166" spans="1:13" ht="15" hidden="1" x14ac:dyDescent="0.25">
      <c r="A166" s="2">
        <f t="shared" si="23"/>
        <v>0.14500000000000005</v>
      </c>
      <c r="B166" s="2">
        <f t="shared" si="13"/>
        <v>773.15</v>
      </c>
      <c r="C166" s="2">
        <f t="shared" si="14"/>
        <v>1.3776728439059158</v>
      </c>
      <c r="D166" s="2">
        <f t="shared" si="15"/>
        <v>-0.17268087812114627</v>
      </c>
      <c r="E166" s="2">
        <f t="shared" si="16"/>
        <v>7.5707704261701675E-2</v>
      </c>
      <c r="F166" s="2">
        <f t="shared" si="17"/>
        <v>0.27800000000000002</v>
      </c>
      <c r="G166" s="2">
        <f t="shared" si="18"/>
        <v>-1.3174992565583498E-4</v>
      </c>
      <c r="H166" s="2">
        <f t="shared" si="19"/>
        <v>0.94670948142778544</v>
      </c>
      <c r="I166" s="2">
        <f t="shared" si="20"/>
        <v>1.5225904666070591</v>
      </c>
      <c r="J166" s="2">
        <f t="shared" si="21"/>
        <v>1.4924900049297189E-3</v>
      </c>
      <c r="K166" s="2">
        <f t="shared" si="24"/>
        <v>3.8818902741019776E-2</v>
      </c>
      <c r="L166" s="2">
        <f t="shared" si="22"/>
        <v>1.5765026486043122E-3</v>
      </c>
      <c r="M166" s="2">
        <f t="shared" si="25"/>
        <v>4.1004028693654583E-2</v>
      </c>
    </row>
    <row r="167" spans="1:13" ht="15" hidden="1" x14ac:dyDescent="0.25">
      <c r="A167" s="2">
        <f t="shared" si="23"/>
        <v>0.15000000000000005</v>
      </c>
      <c r="B167" s="2">
        <f t="shared" si="13"/>
        <v>773.15</v>
      </c>
      <c r="C167" s="2">
        <f t="shared" si="14"/>
        <v>1.3776728439059158</v>
      </c>
      <c r="D167" s="2">
        <f t="shared" si="15"/>
        <v>-0.17268087812114627</v>
      </c>
      <c r="E167" s="2">
        <f t="shared" si="16"/>
        <v>7.5707704261701675E-2</v>
      </c>
      <c r="F167" s="2">
        <f t="shared" si="17"/>
        <v>0.27800000000000002</v>
      </c>
      <c r="G167" s="2">
        <f t="shared" si="18"/>
        <v>-1.3174992565583498E-4</v>
      </c>
      <c r="H167" s="2">
        <f t="shared" si="19"/>
        <v>0.94670948142778544</v>
      </c>
      <c r="I167" s="2">
        <f t="shared" si="20"/>
        <v>1.5225904666070591</v>
      </c>
      <c r="J167" s="2">
        <f t="shared" si="21"/>
        <v>1.5078251192881028E-3</v>
      </c>
      <c r="K167" s="2">
        <f t="shared" si="24"/>
        <v>4.032672786030788E-2</v>
      </c>
      <c r="L167" s="2">
        <f t="shared" si="22"/>
        <v>1.5927009804677014E-3</v>
      </c>
      <c r="M167" s="2">
        <f t="shared" si="25"/>
        <v>4.2596729674122286E-2</v>
      </c>
    </row>
    <row r="168" spans="1:13" ht="15" hidden="1" x14ac:dyDescent="0.25">
      <c r="A168" s="2">
        <f t="shared" si="23"/>
        <v>0.15500000000000005</v>
      </c>
      <c r="B168" s="2">
        <f t="shared" si="13"/>
        <v>773.15</v>
      </c>
      <c r="C168" s="2">
        <f t="shared" si="14"/>
        <v>1.3776728439059158</v>
      </c>
      <c r="D168" s="2">
        <f t="shared" si="15"/>
        <v>-0.17268087812114627</v>
      </c>
      <c r="E168" s="2">
        <f t="shared" si="16"/>
        <v>7.5707704261701675E-2</v>
      </c>
      <c r="F168" s="2">
        <f t="shared" si="17"/>
        <v>0.27800000000000002</v>
      </c>
      <c r="G168" s="2">
        <f t="shared" si="18"/>
        <v>-1.3174992565583498E-4</v>
      </c>
      <c r="H168" s="2">
        <f t="shared" si="19"/>
        <v>0.94670948142778544</v>
      </c>
      <c r="I168" s="2">
        <f t="shared" si="20"/>
        <v>1.5225904666070591</v>
      </c>
      <c r="J168" s="2">
        <f t="shared" si="21"/>
        <v>1.5233417142897811E-3</v>
      </c>
      <c r="K168" s="2">
        <f t="shared" si="24"/>
        <v>4.1850069574597665E-2</v>
      </c>
      <c r="L168" s="2">
        <f t="shared" si="22"/>
        <v>1.6090910085661593E-3</v>
      </c>
      <c r="M168" s="2">
        <f t="shared" si="25"/>
        <v>4.4205820682688447E-2</v>
      </c>
    </row>
    <row r="169" spans="1:13" ht="15" hidden="1" x14ac:dyDescent="0.25">
      <c r="A169" s="2">
        <f t="shared" si="23"/>
        <v>0.16000000000000006</v>
      </c>
      <c r="B169" s="2">
        <f t="shared" si="13"/>
        <v>773.15</v>
      </c>
      <c r="C169" s="2">
        <f t="shared" si="14"/>
        <v>1.3776728439059158</v>
      </c>
      <c r="D169" s="2">
        <f t="shared" si="15"/>
        <v>-0.17268087812114627</v>
      </c>
      <c r="E169" s="2">
        <f t="shared" si="16"/>
        <v>7.5707704261701675E-2</v>
      </c>
      <c r="F169" s="2">
        <f t="shared" si="17"/>
        <v>0.27800000000000002</v>
      </c>
      <c r="G169" s="2">
        <f t="shared" si="18"/>
        <v>-1.3174992565583498E-4</v>
      </c>
      <c r="H169" s="2">
        <f t="shared" si="19"/>
        <v>0.94670948142778544</v>
      </c>
      <c r="I169" s="2">
        <f t="shared" si="20"/>
        <v>1.5225904666070591</v>
      </c>
      <c r="J169" s="2">
        <f t="shared" si="21"/>
        <v>1.5390430306605274E-3</v>
      </c>
      <c r="K169" s="2">
        <f t="shared" si="24"/>
        <v>4.3389112605258191E-2</v>
      </c>
      <c r="L169" s="2">
        <f t="shared" si="22"/>
        <v>1.6256761560467427E-3</v>
      </c>
      <c r="M169" s="2">
        <f t="shared" si="25"/>
        <v>4.5831496838735192E-2</v>
      </c>
    </row>
    <row r="170" spans="1:13" ht="15" hidden="1" x14ac:dyDescent="0.25">
      <c r="A170" s="2">
        <f t="shared" si="23"/>
        <v>0.16500000000000006</v>
      </c>
      <c r="B170" s="2">
        <f t="shared" si="13"/>
        <v>773.15</v>
      </c>
      <c r="C170" s="2">
        <f t="shared" si="14"/>
        <v>1.3776728439059158</v>
      </c>
      <c r="D170" s="2">
        <f t="shared" si="15"/>
        <v>-0.17268087812114627</v>
      </c>
      <c r="E170" s="2">
        <f t="shared" si="16"/>
        <v>7.5707704261701675E-2</v>
      </c>
      <c r="F170" s="2">
        <f t="shared" si="17"/>
        <v>0.27800000000000002</v>
      </c>
      <c r="G170" s="2">
        <f t="shared" si="18"/>
        <v>-1.3174992565583498E-4</v>
      </c>
      <c r="H170" s="2">
        <f t="shared" si="19"/>
        <v>0.94670948142778544</v>
      </c>
      <c r="I170" s="2">
        <f t="shared" si="20"/>
        <v>1.5225904666070591</v>
      </c>
      <c r="J170" s="2">
        <f t="shared" si="21"/>
        <v>1.5549323867482881E-3</v>
      </c>
      <c r="K170" s="2">
        <f t="shared" si="24"/>
        <v>4.4944044992006479E-2</v>
      </c>
      <c r="L170" s="2">
        <f t="shared" si="22"/>
        <v>1.6424599280480509E-3</v>
      </c>
      <c r="M170" s="2">
        <f t="shared" si="25"/>
        <v>4.7473956766783246E-2</v>
      </c>
    </row>
    <row r="171" spans="1:13" ht="15" hidden="1" x14ac:dyDescent="0.25">
      <c r="A171" s="2">
        <f t="shared" si="23"/>
        <v>0.17000000000000007</v>
      </c>
      <c r="B171" s="2">
        <f t="shared" si="13"/>
        <v>773.15</v>
      </c>
      <c r="C171" s="2">
        <f t="shared" si="14"/>
        <v>1.3776728439059158</v>
      </c>
      <c r="D171" s="2">
        <f t="shared" si="15"/>
        <v>-0.17268087812114627</v>
      </c>
      <c r="E171" s="2">
        <f t="shared" si="16"/>
        <v>7.5707704261701675E-2</v>
      </c>
      <c r="F171" s="2">
        <f t="shared" si="17"/>
        <v>0.27800000000000002</v>
      </c>
      <c r="G171" s="2">
        <f t="shared" si="18"/>
        <v>-1.3174992565583498E-4</v>
      </c>
      <c r="H171" s="2">
        <f t="shared" si="19"/>
        <v>0.94670948142778544</v>
      </c>
      <c r="I171" s="2">
        <f t="shared" si="20"/>
        <v>1.5225904666070591</v>
      </c>
      <c r="J171" s="2">
        <f t="shared" si="21"/>
        <v>1.571013180861203E-3</v>
      </c>
      <c r="K171" s="2">
        <f t="shared" si="24"/>
        <v>4.6515058172867683E-2</v>
      </c>
      <c r="L171" s="2">
        <f t="shared" si="22"/>
        <v>1.6594459141698571E-3</v>
      </c>
      <c r="M171" s="2">
        <f t="shared" si="25"/>
        <v>4.9133402680953106E-2</v>
      </c>
    </row>
    <row r="172" spans="1:13" ht="15" hidden="1" x14ac:dyDescent="0.25">
      <c r="A172" s="2">
        <f t="shared" si="23"/>
        <v>0.17500000000000007</v>
      </c>
      <c r="B172" s="2">
        <f t="shared" si="13"/>
        <v>773.15</v>
      </c>
      <c r="C172" s="2">
        <f t="shared" si="14"/>
        <v>1.3776728439059158</v>
      </c>
      <c r="D172" s="2">
        <f t="shared" si="15"/>
        <v>-0.17268087812114627</v>
      </c>
      <c r="E172" s="2">
        <f t="shared" si="16"/>
        <v>7.5707704261701675E-2</v>
      </c>
      <c r="F172" s="2">
        <f t="shared" si="17"/>
        <v>0.27800000000000002</v>
      </c>
      <c r="G172" s="2">
        <f t="shared" si="18"/>
        <v>-1.3174992565583498E-4</v>
      </c>
      <c r="H172" s="2">
        <f t="shared" si="19"/>
        <v>0.94670948142778544</v>
      </c>
      <c r="I172" s="2">
        <f t="shared" si="20"/>
        <v>1.5225904666070591</v>
      </c>
      <c r="J172" s="2">
        <f t="shared" si="21"/>
        <v>1.5872888936906376E-3</v>
      </c>
      <c r="K172" s="2">
        <f t="shared" si="24"/>
        <v>4.8102347066558318E-2</v>
      </c>
      <c r="L172" s="2">
        <f t="shared" si="22"/>
        <v>1.6766377910325337E-3</v>
      </c>
      <c r="M172" s="2">
        <f t="shared" si="25"/>
        <v>5.0810040471985639E-2</v>
      </c>
    </row>
    <row r="173" spans="1:13" ht="15" hidden="1" x14ac:dyDescent="0.25">
      <c r="A173" s="2">
        <f t="shared" si="23"/>
        <v>0.18000000000000008</v>
      </c>
      <c r="B173" s="2">
        <f t="shared" si="13"/>
        <v>773.15</v>
      </c>
      <c r="C173" s="2">
        <f t="shared" si="14"/>
        <v>1.3776728439059158</v>
      </c>
      <c r="D173" s="2">
        <f t="shared" si="15"/>
        <v>-0.17268087812114627</v>
      </c>
      <c r="E173" s="2">
        <f t="shared" si="16"/>
        <v>7.5707704261701675E-2</v>
      </c>
      <c r="F173" s="2">
        <f t="shared" si="17"/>
        <v>0.27800000000000002</v>
      </c>
      <c r="G173" s="2">
        <f t="shared" si="18"/>
        <v>-1.3174992565583498E-4</v>
      </c>
      <c r="H173" s="2">
        <f t="shared" si="19"/>
        <v>0.94670948142778544</v>
      </c>
      <c r="I173" s="2">
        <f t="shared" si="20"/>
        <v>1.5225904666070591</v>
      </c>
      <c r="J173" s="2">
        <f t="shared" si="21"/>
        <v>1.6037630908228709E-3</v>
      </c>
      <c r="K173" s="2">
        <f t="shared" si="24"/>
        <v>4.9706110157381189E-2</v>
      </c>
      <c r="L173" s="2">
        <f t="shared" si="22"/>
        <v>1.6940393249301211E-3</v>
      </c>
      <c r="M173" s="2">
        <f t="shared" si="25"/>
        <v>5.2504079796915758E-2</v>
      </c>
    </row>
    <row r="174" spans="1:13" ht="15" hidden="1" x14ac:dyDescent="0.25">
      <c r="A174" s="2">
        <f t="shared" si="23"/>
        <v>0.18500000000000008</v>
      </c>
      <c r="B174" s="2">
        <f t="shared" si="13"/>
        <v>773.15</v>
      </c>
      <c r="C174" s="2">
        <f t="shared" si="14"/>
        <v>1.3776728439059158</v>
      </c>
      <c r="D174" s="2">
        <f t="shared" si="15"/>
        <v>-0.17268087812114627</v>
      </c>
      <c r="E174" s="2">
        <f t="shared" si="16"/>
        <v>7.5707704261701675E-2</v>
      </c>
      <c r="F174" s="2">
        <f t="shared" si="17"/>
        <v>0.27800000000000002</v>
      </c>
      <c r="G174" s="2">
        <f t="shared" si="18"/>
        <v>-1.3174992565583498E-4</v>
      </c>
      <c r="H174" s="2">
        <f t="shared" si="19"/>
        <v>0.94670948142778544</v>
      </c>
      <c r="I174" s="2">
        <f t="shared" si="20"/>
        <v>1.5225904666070591</v>
      </c>
      <c r="J174" s="2">
        <f t="shared" si="21"/>
        <v>1.6204394253432292E-3</v>
      </c>
      <c r="K174" s="2">
        <f t="shared" si="24"/>
        <v>5.1326549582724416E-2</v>
      </c>
      <c r="L174" s="2">
        <f t="shared" si="22"/>
        <v>1.7116543745810532E-3</v>
      </c>
      <c r="M174" s="2">
        <f t="shared" si="25"/>
        <v>5.4215734171496811E-2</v>
      </c>
    </row>
    <row r="175" spans="1:13" ht="15" hidden="1" x14ac:dyDescent="0.25">
      <c r="A175" s="2">
        <f t="shared" si="23"/>
        <v>0.19000000000000009</v>
      </c>
      <c r="B175" s="2">
        <f t="shared" si="13"/>
        <v>773.15</v>
      </c>
      <c r="C175" s="2">
        <f t="shared" si="14"/>
        <v>1.3776728439059158</v>
      </c>
      <c r="D175" s="2">
        <f t="shared" si="15"/>
        <v>-0.17268087812114627</v>
      </c>
      <c r="E175" s="2">
        <f t="shared" si="16"/>
        <v>7.5707704261701675E-2</v>
      </c>
      <c r="F175" s="2">
        <f t="shared" si="17"/>
        <v>0.27800000000000002</v>
      </c>
      <c r="G175" s="2">
        <f t="shared" si="18"/>
        <v>-1.3174992565583498E-4</v>
      </c>
      <c r="H175" s="2">
        <f t="shared" si="19"/>
        <v>0.94670948142778544</v>
      </c>
      <c r="I175" s="2">
        <f t="shared" si="20"/>
        <v>1.5225904666070591</v>
      </c>
      <c r="J175" s="2">
        <f t="shared" si="21"/>
        <v>1.6373216405366786E-3</v>
      </c>
      <c r="K175" s="2">
        <f t="shared" si="24"/>
        <v>5.2963871223261093E-2</v>
      </c>
      <c r="L175" s="2">
        <f t="shared" si="22"/>
        <v>1.7294868939807617E-3</v>
      </c>
      <c r="M175" s="2">
        <f t="shared" si="25"/>
        <v>5.5945221065477571E-2</v>
      </c>
    </row>
    <row r="176" spans="1:13" ht="15" hidden="1" x14ac:dyDescent="0.25">
      <c r="A176" s="2">
        <f t="shared" si="23"/>
        <v>0.19500000000000009</v>
      </c>
      <c r="B176" s="2">
        <f t="shared" si="13"/>
        <v>773.15</v>
      </c>
      <c r="C176" s="2">
        <f t="shared" si="14"/>
        <v>1.3776728439059158</v>
      </c>
      <c r="D176" s="2">
        <f t="shared" si="15"/>
        <v>-0.17268087812114627</v>
      </c>
      <c r="E176" s="2">
        <f t="shared" si="16"/>
        <v>7.5707704261701675E-2</v>
      </c>
      <c r="F176" s="2">
        <f t="shared" si="17"/>
        <v>0.27800000000000002</v>
      </c>
      <c r="G176" s="2">
        <f t="shared" si="18"/>
        <v>-1.3174992565583498E-4</v>
      </c>
      <c r="H176" s="2">
        <f t="shared" si="19"/>
        <v>0.94670948142778544</v>
      </c>
      <c r="I176" s="2">
        <f t="shared" si="20"/>
        <v>1.5225904666070591</v>
      </c>
      <c r="J176" s="2">
        <f t="shared" si="21"/>
        <v>1.6544135726890524E-3</v>
      </c>
      <c r="K176" s="2">
        <f t="shared" si="24"/>
        <v>5.4618284795950142E-2</v>
      </c>
      <c r="L176" s="2">
        <f t="shared" si="22"/>
        <v>1.7475409353605914E-3</v>
      </c>
      <c r="M176" s="2">
        <f t="shared" si="25"/>
        <v>5.7692762000838164E-2</v>
      </c>
    </row>
    <row r="177" spans="1:13" ht="15" hidden="1" x14ac:dyDescent="0.25">
      <c r="A177" s="2">
        <f t="shared" si="23"/>
        <v>0.20000000000000009</v>
      </c>
      <c r="B177" s="2">
        <f t="shared" si="13"/>
        <v>773.15</v>
      </c>
      <c r="C177" s="2">
        <f t="shared" si="14"/>
        <v>1.3776728439059158</v>
      </c>
      <c r="D177" s="2">
        <f t="shared" si="15"/>
        <v>-0.17268087812114627</v>
      </c>
      <c r="E177" s="2">
        <f t="shared" si="16"/>
        <v>7.5707704261701675E-2</v>
      </c>
      <c r="F177" s="2">
        <f t="shared" si="17"/>
        <v>0.27800000000000002</v>
      </c>
      <c r="G177" s="2">
        <f t="shared" si="18"/>
        <v>-1.3174992565583498E-4</v>
      </c>
      <c r="H177" s="2">
        <f t="shared" si="19"/>
        <v>0.94670948142778544</v>
      </c>
      <c r="I177" s="2">
        <f t="shared" si="20"/>
        <v>1.5225904666070591</v>
      </c>
      <c r="J177" s="2">
        <f t="shared" si="21"/>
        <v>1.6717191539933317E-3</v>
      </c>
      <c r="K177" s="2">
        <f t="shared" si="24"/>
        <v>5.6290003949943476E-2</v>
      </c>
      <c r="L177" s="2">
        <f t="shared" si="22"/>
        <v>1.7658206522576686E-3</v>
      </c>
      <c r="M177" s="2">
        <f t="shared" si="25"/>
        <v>5.945858265309583E-2</v>
      </c>
    </row>
    <row r="178" spans="1:13" ht="15" hidden="1" x14ac:dyDescent="0.25">
      <c r="A178" s="2">
        <f t="shared" si="23"/>
        <v>0.2050000000000001</v>
      </c>
      <c r="B178" s="2">
        <f t="shared" si="13"/>
        <v>773.15</v>
      </c>
      <c r="C178" s="2">
        <f t="shared" si="14"/>
        <v>1.3776728439059158</v>
      </c>
      <c r="D178" s="2">
        <f t="shared" si="15"/>
        <v>-0.17268087812114627</v>
      </c>
      <c r="E178" s="2">
        <f t="shared" si="16"/>
        <v>7.5707704261701675E-2</v>
      </c>
      <c r="F178" s="2">
        <f t="shared" si="17"/>
        <v>0.27800000000000002</v>
      </c>
      <c r="G178" s="2">
        <f t="shared" si="18"/>
        <v>-1.3174992565583498E-4</v>
      </c>
      <c r="H178" s="2">
        <f t="shared" si="19"/>
        <v>0.94670948142778544</v>
      </c>
      <c r="I178" s="2">
        <f t="shared" si="20"/>
        <v>1.5225904666070591</v>
      </c>
      <c r="J178" s="2">
        <f t="shared" si="21"/>
        <v>1.6892424155655885E-3</v>
      </c>
      <c r="K178" s="2">
        <f t="shared" si="24"/>
        <v>5.7979246365509066E-2</v>
      </c>
      <c r="L178" s="2">
        <f t="shared" si="22"/>
        <v>1.7843303027006211E-3</v>
      </c>
      <c r="M178" s="2">
        <f t="shared" si="25"/>
        <v>6.1242912955796452E-2</v>
      </c>
    </row>
    <row r="179" spans="1:13" ht="15" hidden="1" x14ac:dyDescent="0.25">
      <c r="A179" s="2">
        <f t="shared" si="23"/>
        <v>0.2100000000000001</v>
      </c>
      <c r="B179" s="2">
        <f t="shared" si="13"/>
        <v>773.15</v>
      </c>
      <c r="C179" s="2">
        <f t="shared" si="14"/>
        <v>1.3776728439059158</v>
      </c>
      <c r="D179" s="2">
        <f t="shared" si="15"/>
        <v>-0.17268087812114627</v>
      </c>
      <c r="E179" s="2">
        <f t="shared" si="16"/>
        <v>7.5707704261701675E-2</v>
      </c>
      <c r="F179" s="2">
        <f t="shared" si="17"/>
        <v>0.27800000000000002</v>
      </c>
      <c r="G179" s="2">
        <f t="shared" si="18"/>
        <v>-1.3174992565583498E-4</v>
      </c>
      <c r="H179" s="2">
        <f t="shared" si="19"/>
        <v>0.94670948142778544</v>
      </c>
      <c r="I179" s="2">
        <f t="shared" si="20"/>
        <v>1.5225904666070591</v>
      </c>
      <c r="J179" s="2">
        <f t="shared" si="21"/>
        <v>1.7069874905754692E-3</v>
      </c>
      <c r="K179" s="2">
        <f t="shared" si="24"/>
        <v>5.9686233856084535E-2</v>
      </c>
      <c r="L179" s="2">
        <f t="shared" si="22"/>
        <v>1.8030742525162694E-3</v>
      </c>
      <c r="M179" s="2">
        <f t="shared" si="25"/>
        <v>6.3045987208312726E-2</v>
      </c>
    </row>
    <row r="180" spans="1:13" ht="15" hidden="1" x14ac:dyDescent="0.25">
      <c r="A180" s="2">
        <f t="shared" si="23"/>
        <v>0.21500000000000011</v>
      </c>
      <c r="B180" s="2">
        <f t="shared" si="13"/>
        <v>773.15</v>
      </c>
      <c r="C180" s="2">
        <f t="shared" si="14"/>
        <v>1.3776728439059158</v>
      </c>
      <c r="D180" s="2">
        <f t="shared" si="15"/>
        <v>-0.17268087812114627</v>
      </c>
      <c r="E180" s="2">
        <f t="shared" si="16"/>
        <v>7.5707704261701675E-2</v>
      </c>
      <c r="F180" s="2">
        <f t="shared" si="17"/>
        <v>0.27800000000000002</v>
      </c>
      <c r="G180" s="2">
        <f t="shared" si="18"/>
        <v>-1.3174992565583498E-4</v>
      </c>
      <c r="H180" s="2">
        <f t="shared" si="19"/>
        <v>0.94670948142778544</v>
      </c>
      <c r="I180" s="2">
        <f t="shared" si="20"/>
        <v>1.5225904666070591</v>
      </c>
      <c r="J180" s="2">
        <f t="shared" si="21"/>
        <v>1.7249586174963038E-3</v>
      </c>
      <c r="K180" s="2">
        <f t="shared" si="24"/>
        <v>6.1411192473580838E-2</v>
      </c>
      <c r="L180" s="2">
        <f t="shared" si="22"/>
        <v>1.8220569787626901E-3</v>
      </c>
      <c r="M180" s="2">
        <f t="shared" si="25"/>
        <v>6.486804418707541E-2</v>
      </c>
    </row>
    <row r="181" spans="1:13" ht="15" hidden="1" x14ac:dyDescent="0.25">
      <c r="A181" s="2">
        <f t="shared" si="23"/>
        <v>0.22000000000000011</v>
      </c>
      <c r="B181" s="2">
        <f t="shared" si="13"/>
        <v>773.15</v>
      </c>
      <c r="C181" s="2">
        <f t="shared" si="14"/>
        <v>1.3776728439059158</v>
      </c>
      <c r="D181" s="2">
        <f t="shared" si="15"/>
        <v>-0.17268087812114627</v>
      </c>
      <c r="E181" s="2">
        <f t="shared" si="16"/>
        <v>7.5707704261701675E-2</v>
      </c>
      <c r="F181" s="2">
        <f t="shared" si="17"/>
        <v>0.27800000000000002</v>
      </c>
      <c r="G181" s="2">
        <f t="shared" si="18"/>
        <v>-1.3174992565583498E-4</v>
      </c>
      <c r="H181" s="2">
        <f t="shared" si="19"/>
        <v>0.94670948142778544</v>
      </c>
      <c r="I181" s="2">
        <f t="shared" si="20"/>
        <v>1.5225904666070591</v>
      </c>
      <c r="J181" s="2">
        <f t="shared" si="21"/>
        <v>1.7431601434802261E-3</v>
      </c>
      <c r="K181" s="2">
        <f t="shared" si="24"/>
        <v>6.3154352617061066E-2</v>
      </c>
      <c r="L181" s="2">
        <f t="shared" si="22"/>
        <v>1.8412830732943213E-3</v>
      </c>
      <c r="M181" s="2">
        <f t="shared" si="25"/>
        <v>6.6709327260369738E-2</v>
      </c>
    </row>
    <row r="182" spans="1:13" ht="15" hidden="1" x14ac:dyDescent="0.25">
      <c r="A182" s="2">
        <f t="shared" si="23"/>
        <v>0.22500000000000012</v>
      </c>
      <c r="B182" s="2">
        <f t="shared" si="13"/>
        <v>773.15</v>
      </c>
      <c r="C182" s="2">
        <f t="shared" si="14"/>
        <v>1.3776728439059158</v>
      </c>
      <c r="D182" s="2">
        <f t="shared" si="15"/>
        <v>-0.17268087812114627</v>
      </c>
      <c r="E182" s="2">
        <f t="shared" si="16"/>
        <v>7.5707704261701675E-2</v>
      </c>
      <c r="F182" s="2">
        <f t="shared" si="17"/>
        <v>0.27800000000000002</v>
      </c>
      <c r="G182" s="2">
        <f t="shared" si="18"/>
        <v>-1.3174992565583498E-4</v>
      </c>
      <c r="H182" s="2">
        <f t="shared" si="19"/>
        <v>0.94670948142778544</v>
      </c>
      <c r="I182" s="2">
        <f t="shared" si="20"/>
        <v>1.5225904666070591</v>
      </c>
      <c r="J182" s="2">
        <f t="shared" si="21"/>
        <v>1.7615965278639403E-3</v>
      </c>
      <c r="K182" s="2">
        <f t="shared" si="24"/>
        <v>6.4915949144925003E-2</v>
      </c>
      <c r="L182" s="2">
        <f t="shared" si="22"/>
        <v>1.8607572464650701E-3</v>
      </c>
      <c r="M182" s="2">
        <f t="shared" si="25"/>
        <v>6.8570084506834814E-2</v>
      </c>
    </row>
    <row r="183" spans="1:13" ht="15" hidden="1" x14ac:dyDescent="0.25">
      <c r="A183" s="2">
        <f t="shared" si="23"/>
        <v>0.23000000000000012</v>
      </c>
      <c r="B183" s="2">
        <f t="shared" si="13"/>
        <v>773.15</v>
      </c>
      <c r="C183" s="2">
        <f t="shared" si="14"/>
        <v>1.3776728439059158</v>
      </c>
      <c r="D183" s="2">
        <f t="shared" si="15"/>
        <v>-0.17268087812114627</v>
      </c>
      <c r="E183" s="2">
        <f t="shared" si="16"/>
        <v>7.5707704261701675E-2</v>
      </c>
      <c r="F183" s="2">
        <f t="shared" si="17"/>
        <v>0.27800000000000002</v>
      </c>
      <c r="G183" s="2">
        <f t="shared" si="18"/>
        <v>-1.3174992565583498E-4</v>
      </c>
      <c r="H183" s="2">
        <f t="shared" si="19"/>
        <v>0.94670948142778544</v>
      </c>
      <c r="I183" s="2">
        <f t="shared" si="20"/>
        <v>1.5225904666070591</v>
      </c>
      <c r="J183" s="2">
        <f t="shared" si="21"/>
        <v>1.7802723458110806E-3</v>
      </c>
      <c r="K183" s="2">
        <f t="shared" si="24"/>
        <v>6.6696221490736091E-2</v>
      </c>
      <c r="L183" s="2">
        <f t="shared" si="22"/>
        <v>1.8804843309756991E-3</v>
      </c>
      <c r="M183" s="2">
        <f t="shared" si="25"/>
        <v>7.0450568837810507E-2</v>
      </c>
    </row>
    <row r="184" spans="1:13" ht="15" hidden="1" x14ac:dyDescent="0.25">
      <c r="A184" s="2">
        <f t="shared" si="23"/>
        <v>0.23500000000000013</v>
      </c>
      <c r="B184" s="2">
        <f t="shared" si="13"/>
        <v>773.15</v>
      </c>
      <c r="C184" s="2">
        <f t="shared" si="14"/>
        <v>1.3776728439059158</v>
      </c>
      <c r="D184" s="2">
        <f t="shared" si="15"/>
        <v>-0.17268087812114627</v>
      </c>
      <c r="E184" s="2">
        <f t="shared" si="16"/>
        <v>7.5707704261701675E-2</v>
      </c>
      <c r="F184" s="2">
        <f t="shared" si="17"/>
        <v>0.27800000000000002</v>
      </c>
      <c r="G184" s="2">
        <f t="shared" si="18"/>
        <v>-1.3174992565583498E-4</v>
      </c>
      <c r="H184" s="2">
        <f t="shared" si="19"/>
        <v>0.94670948142778544</v>
      </c>
      <c r="I184" s="2">
        <f t="shared" si="20"/>
        <v>1.5225904666070591</v>
      </c>
      <c r="J184" s="2">
        <f t="shared" si="21"/>
        <v>1.7991922920973979E-3</v>
      </c>
      <c r="K184" s="2">
        <f t="shared" si="24"/>
        <v>6.8495413782833484E-2</v>
      </c>
      <c r="L184" s="2">
        <f t="shared" si="22"/>
        <v>1.9004692858720878E-3</v>
      </c>
      <c r="M184" s="2">
        <f t="shared" si="25"/>
        <v>7.2351038123682598E-2</v>
      </c>
    </row>
    <row r="185" spans="1:13" ht="15" hidden="1" x14ac:dyDescent="0.25">
      <c r="A185" s="2">
        <f t="shared" si="23"/>
        <v>0.24000000000000013</v>
      </c>
      <c r="B185" s="2">
        <f t="shared" si="13"/>
        <v>773.15</v>
      </c>
      <c r="C185" s="2">
        <f t="shared" si="14"/>
        <v>1.3776728439059158</v>
      </c>
      <c r="D185" s="2">
        <f t="shared" si="15"/>
        <v>-0.17268087812114627</v>
      </c>
      <c r="E185" s="2">
        <f t="shared" si="16"/>
        <v>7.5707704261701675E-2</v>
      </c>
      <c r="F185" s="2">
        <f t="shared" si="17"/>
        <v>0.27800000000000002</v>
      </c>
      <c r="G185" s="2">
        <f t="shared" si="18"/>
        <v>-1.3174992565583498E-4</v>
      </c>
      <c r="H185" s="2">
        <f t="shared" si="19"/>
        <v>0.94670948142778544</v>
      </c>
      <c r="I185" s="2">
        <f t="shared" si="20"/>
        <v>1.5225904666070591</v>
      </c>
      <c r="J185" s="2">
        <f t="shared" si="21"/>
        <v>1.8183611850453782E-3</v>
      </c>
      <c r="K185" s="2">
        <f t="shared" si="24"/>
        <v>7.0313774967878856E-2</v>
      </c>
      <c r="L185" s="2">
        <f t="shared" si="22"/>
        <v>1.920717200701324E-3</v>
      </c>
      <c r="M185" s="2">
        <f t="shared" si="25"/>
        <v>7.4271755324383917E-2</v>
      </c>
    </row>
    <row r="186" spans="1:13" ht="15" hidden="1" x14ac:dyDescent="0.25">
      <c r="A186" s="2">
        <f t="shared" si="23"/>
        <v>0.24500000000000013</v>
      </c>
      <c r="B186" s="2">
        <f t="shared" si="13"/>
        <v>773.15</v>
      </c>
      <c r="C186" s="2">
        <f t="shared" si="14"/>
        <v>1.3776728439059158</v>
      </c>
      <c r="D186" s="2">
        <f t="shared" si="15"/>
        <v>-0.17268087812114627</v>
      </c>
      <c r="E186" s="2">
        <f t="shared" si="16"/>
        <v>7.5707704261701675E-2</v>
      </c>
      <c r="F186" s="2">
        <f t="shared" si="17"/>
        <v>0.27800000000000002</v>
      </c>
      <c r="G186" s="2">
        <f t="shared" si="18"/>
        <v>-1.3174992565583498E-4</v>
      </c>
      <c r="H186" s="2">
        <f t="shared" si="19"/>
        <v>0.94670948142778544</v>
      </c>
      <c r="I186" s="2">
        <f t="shared" si="20"/>
        <v>1.5225904666070591</v>
      </c>
      <c r="J186" s="2">
        <f t="shared" si="21"/>
        <v>1.8377839706151858E-3</v>
      </c>
      <c r="K186" s="2">
        <f t="shared" si="24"/>
        <v>7.2151558938494037E-2</v>
      </c>
      <c r="L186" s="2">
        <f t="shared" si="22"/>
        <v>1.941233299832934E-3</v>
      </c>
      <c r="M186" s="2">
        <f t="shared" si="25"/>
        <v>7.6212988624216854E-2</v>
      </c>
    </row>
    <row r="187" spans="1:13" ht="15" hidden="1" x14ac:dyDescent="0.25">
      <c r="A187" s="2">
        <f t="shared" si="23"/>
        <v>0.25000000000000011</v>
      </c>
      <c r="B187" s="2">
        <f t="shared" si="13"/>
        <v>773.15</v>
      </c>
      <c r="C187" s="2">
        <f t="shared" si="14"/>
        <v>1.3776728439059158</v>
      </c>
      <c r="D187" s="2">
        <f t="shared" si="15"/>
        <v>-0.17268087812114627</v>
      </c>
      <c r="E187" s="2">
        <f t="shared" si="16"/>
        <v>7.5707704261701675E-2</v>
      </c>
      <c r="F187" s="2">
        <f t="shared" si="17"/>
        <v>0.27800000000000002</v>
      </c>
      <c r="G187" s="2">
        <f t="shared" si="18"/>
        <v>-1.3174992565583498E-4</v>
      </c>
      <c r="H187" s="2">
        <f t="shared" si="19"/>
        <v>0.94670948142778544</v>
      </c>
      <c r="I187" s="2">
        <f t="shared" si="20"/>
        <v>1.5225904666070591</v>
      </c>
      <c r="J187" s="2">
        <f t="shared" si="21"/>
        <v>1.8574657266592571E-3</v>
      </c>
      <c r="K187" s="2">
        <f t="shared" si="24"/>
        <v>7.40090246651533E-2</v>
      </c>
      <c r="L187" s="2">
        <f t="shared" si="22"/>
        <v>1.9620229469529647E-3</v>
      </c>
      <c r="M187" s="2">
        <f t="shared" si="25"/>
        <v>7.8175011571169822E-2</v>
      </c>
    </row>
    <row r="188" spans="1:13" ht="15" hidden="1" x14ac:dyDescent="0.25">
      <c r="A188" s="2">
        <f t="shared" si="23"/>
        <v>0.25500000000000012</v>
      </c>
      <c r="B188" s="2">
        <f t="shared" si="13"/>
        <v>773.15</v>
      </c>
      <c r="C188" s="2">
        <f t="shared" si="14"/>
        <v>1.3776728439059158</v>
      </c>
      <c r="D188" s="2">
        <f t="shared" si="15"/>
        <v>-0.17268087812114627</v>
      </c>
      <c r="E188" s="2">
        <f t="shared" si="16"/>
        <v>7.5707704261701675E-2</v>
      </c>
      <c r="F188" s="2">
        <f t="shared" si="17"/>
        <v>0.27800000000000002</v>
      </c>
      <c r="G188" s="2">
        <f t="shared" si="18"/>
        <v>-1.3174992565583498E-4</v>
      </c>
      <c r="H188" s="2">
        <f t="shared" si="19"/>
        <v>0.94670948142778544</v>
      </c>
      <c r="I188" s="2">
        <f t="shared" si="20"/>
        <v>1.5225904666070591</v>
      </c>
      <c r="J188" s="2">
        <f t="shared" si="21"/>
        <v>1.877411667348216E-3</v>
      </c>
      <c r="K188" s="2">
        <f t="shared" si="24"/>
        <v>7.5886436332501514E-2</v>
      </c>
      <c r="L188" s="2">
        <f t="shared" si="22"/>
        <v>1.9830916497390379E-3</v>
      </c>
      <c r="M188" s="2">
        <f t="shared" si="25"/>
        <v>8.0158103220908855E-2</v>
      </c>
    </row>
    <row r="189" spans="1:13" ht="15" hidden="1" x14ac:dyDescent="0.25">
      <c r="A189" s="2">
        <f t="shared" si="23"/>
        <v>0.26000000000000012</v>
      </c>
      <c r="B189" s="2">
        <f t="shared" si="13"/>
        <v>773.15</v>
      </c>
      <c r="C189" s="2">
        <f t="shared" si="14"/>
        <v>1.3776728439059158</v>
      </c>
      <c r="D189" s="2">
        <f t="shared" si="15"/>
        <v>-0.17268087812114627</v>
      </c>
      <c r="E189" s="2">
        <f t="shared" si="16"/>
        <v>7.5707704261701675E-2</v>
      </c>
      <c r="F189" s="2">
        <f t="shared" si="17"/>
        <v>0.27800000000000002</v>
      </c>
      <c r="G189" s="2">
        <f t="shared" si="18"/>
        <v>-1.3174992565583498E-4</v>
      </c>
      <c r="H189" s="2">
        <f t="shared" si="19"/>
        <v>0.94670948142778544</v>
      </c>
      <c r="I189" s="2">
        <f t="shared" si="20"/>
        <v>1.5225904666070591</v>
      </c>
      <c r="J189" s="2">
        <f t="shared" si="21"/>
        <v>1.8976271477762145E-3</v>
      </c>
      <c r="K189" s="2">
        <f t="shared" si="24"/>
        <v>7.7784063480277735E-2</v>
      </c>
      <c r="L189" s="2">
        <f t="shared" si="22"/>
        <v>2.0044450647249217E-3</v>
      </c>
      <c r="M189" s="2">
        <f t="shared" si="25"/>
        <v>8.2162548285633782E-2</v>
      </c>
    </row>
    <row r="190" spans="1:13" ht="15" hidden="1" x14ac:dyDescent="0.25">
      <c r="A190" s="2">
        <f t="shared" si="23"/>
        <v>0.26500000000000012</v>
      </c>
      <c r="B190" s="2">
        <f t="shared" si="13"/>
        <v>773.15</v>
      </c>
      <c r="C190" s="2">
        <f t="shared" si="14"/>
        <v>1.3776728439059158</v>
      </c>
      <c r="D190" s="2">
        <f t="shared" si="15"/>
        <v>-0.17268087812114627</v>
      </c>
      <c r="E190" s="2">
        <f t="shared" si="16"/>
        <v>7.5707704261701675E-2</v>
      </c>
      <c r="F190" s="2">
        <f t="shared" si="17"/>
        <v>0.27800000000000002</v>
      </c>
      <c r="G190" s="2">
        <f t="shared" si="18"/>
        <v>-1.3174992565583498E-4</v>
      </c>
      <c r="H190" s="2">
        <f t="shared" si="19"/>
        <v>0.94670948142778544</v>
      </c>
      <c r="I190" s="2">
        <f t="shared" si="20"/>
        <v>1.5225904666070591</v>
      </c>
      <c r="J190" s="2">
        <f t="shared" si="21"/>
        <v>1.9181176687542534E-3</v>
      </c>
      <c r="K190" s="2">
        <f t="shared" si="24"/>
        <v>7.9702181149031992E-2</v>
      </c>
      <c r="L190" s="2">
        <f t="shared" si="22"/>
        <v>2.0260890023636744E-3</v>
      </c>
      <c r="M190" s="2">
        <f t="shared" si="25"/>
        <v>8.4188637287997456E-2</v>
      </c>
    </row>
    <row r="191" spans="1:13" ht="15" hidden="1" x14ac:dyDescent="0.25">
      <c r="A191" s="2">
        <f t="shared" si="23"/>
        <v>0.27000000000000013</v>
      </c>
      <c r="B191" s="2">
        <f t="shared" si="13"/>
        <v>773.15</v>
      </c>
      <c r="C191" s="2">
        <f t="shared" si="14"/>
        <v>1.3776728439059158</v>
      </c>
      <c r="D191" s="2">
        <f t="shared" si="15"/>
        <v>-0.17268087812114627</v>
      </c>
      <c r="E191" s="2">
        <f t="shared" si="16"/>
        <v>7.5707704261701675E-2</v>
      </c>
      <c r="F191" s="2">
        <f t="shared" si="17"/>
        <v>0.27800000000000002</v>
      </c>
      <c r="G191" s="2">
        <f t="shared" si="18"/>
        <v>-1.3174992565583498E-4</v>
      </c>
      <c r="H191" s="2">
        <f t="shared" si="19"/>
        <v>0.94670948142778544</v>
      </c>
      <c r="I191" s="2">
        <f t="shared" si="20"/>
        <v>1.5225904666070591</v>
      </c>
      <c r="J191" s="2">
        <f t="shared" si="21"/>
        <v>1.9388888818004852E-3</v>
      </c>
      <c r="K191" s="2">
        <f t="shared" si="24"/>
        <v>8.1641070030832472E-2</v>
      </c>
      <c r="L191" s="2">
        <f t="shared" si="22"/>
        <v>2.0480294322988489E-3</v>
      </c>
      <c r="M191" s="2">
        <f t="shared" si="25"/>
        <v>8.6236666720296298E-2</v>
      </c>
    </row>
    <row r="192" spans="1:13" ht="15" hidden="1" x14ac:dyDescent="0.25">
      <c r="A192" s="2">
        <f t="shared" si="23"/>
        <v>0.27500000000000013</v>
      </c>
      <c r="B192" s="2">
        <f t="shared" si="13"/>
        <v>773.15</v>
      </c>
      <c r="C192" s="2">
        <f t="shared" si="14"/>
        <v>1.3776728439059158</v>
      </c>
      <c r="D192" s="2">
        <f t="shared" si="15"/>
        <v>-0.17268087812114627</v>
      </c>
      <c r="E192" s="2">
        <f t="shared" si="16"/>
        <v>7.5707704261701675E-2</v>
      </c>
      <c r="F192" s="2">
        <f t="shared" si="17"/>
        <v>0.27800000000000002</v>
      </c>
      <c r="G192" s="2">
        <f t="shared" si="18"/>
        <v>-1.3174992565583498E-4</v>
      </c>
      <c r="H192" s="2">
        <f t="shared" si="19"/>
        <v>0.94670948142778544</v>
      </c>
      <c r="I192" s="2">
        <f t="shared" si="20"/>
        <v>1.5225904666070591</v>
      </c>
      <c r="J192" s="2">
        <f t="shared" si="21"/>
        <v>1.9599465943370095E-3</v>
      </c>
      <c r="K192" s="2">
        <f t="shared" si="24"/>
        <v>8.3601016625169486E-2</v>
      </c>
      <c r="L192" s="2">
        <f t="shared" si="22"/>
        <v>2.0702724888538187E-3</v>
      </c>
      <c r="M192" s="2">
        <f t="shared" si="25"/>
        <v>8.8306939209150115E-2</v>
      </c>
    </row>
    <row r="193" spans="1:13" ht="15" hidden="1" x14ac:dyDescent="0.25">
      <c r="A193" s="2">
        <f t="shared" si="23"/>
        <v>0.28000000000000014</v>
      </c>
      <c r="B193" s="2">
        <f t="shared" si="13"/>
        <v>773.15</v>
      </c>
      <c r="C193" s="2">
        <f t="shared" si="14"/>
        <v>1.3776728439059158</v>
      </c>
      <c r="D193" s="2">
        <f t="shared" si="15"/>
        <v>-0.17268087812114627</v>
      </c>
      <c r="E193" s="2">
        <f t="shared" si="16"/>
        <v>7.5707704261701675E-2</v>
      </c>
      <c r="F193" s="2">
        <f t="shared" si="17"/>
        <v>0.27800000000000002</v>
      </c>
      <c r="G193" s="2">
        <f t="shared" si="18"/>
        <v>-1.3174992565583498E-4</v>
      </c>
      <c r="H193" s="2">
        <f t="shared" si="19"/>
        <v>0.94670948142778544</v>
      </c>
      <c r="I193" s="2">
        <f t="shared" si="20"/>
        <v>1.5225904666070591</v>
      </c>
      <c r="J193" s="2">
        <f t="shared" si="21"/>
        <v>1.9812967751032078E-3</v>
      </c>
      <c r="K193" s="2">
        <f t="shared" si="24"/>
        <v>8.5582313400272697E-2</v>
      </c>
      <c r="L193" s="2">
        <f t="shared" si="22"/>
        <v>2.0928244767498302E-3</v>
      </c>
      <c r="M193" s="2">
        <f t="shared" si="25"/>
        <v>9.0399763685899942E-2</v>
      </c>
    </row>
    <row r="194" spans="1:13" ht="15" hidden="1" x14ac:dyDescent="0.25">
      <c r="A194" s="2">
        <f t="shared" si="23"/>
        <v>0.28500000000000014</v>
      </c>
      <c r="B194" s="2">
        <f t="shared" si="13"/>
        <v>773.15</v>
      </c>
      <c r="C194" s="2">
        <f t="shared" si="14"/>
        <v>1.3776728439059158</v>
      </c>
      <c r="D194" s="2">
        <f t="shared" si="15"/>
        <v>-0.17268087812114627</v>
      </c>
      <c r="E194" s="2">
        <f t="shared" si="16"/>
        <v>7.5707704261701675E-2</v>
      </c>
      <c r="F194" s="2">
        <f t="shared" si="17"/>
        <v>0.27800000000000002</v>
      </c>
      <c r="G194" s="2">
        <f t="shared" si="18"/>
        <v>-1.3174992565583498E-4</v>
      </c>
      <c r="H194" s="2">
        <f t="shared" si="19"/>
        <v>0.94670948142778544</v>
      </c>
      <c r="I194" s="2">
        <f t="shared" si="20"/>
        <v>1.5225904666070591</v>
      </c>
      <c r="J194" s="2">
        <f t="shared" si="21"/>
        <v>2.0029455597962063E-3</v>
      </c>
      <c r="K194" s="2">
        <f t="shared" si="24"/>
        <v>8.7585258960068899E-2</v>
      </c>
      <c r="L194" s="2">
        <f t="shared" si="22"/>
        <v>2.1156918770639664E-3</v>
      </c>
      <c r="M194" s="2">
        <f t="shared" si="25"/>
        <v>9.2515455562963908E-2</v>
      </c>
    </row>
    <row r="195" spans="1:13" ht="15" hidden="1" x14ac:dyDescent="0.25">
      <c r="A195" s="2">
        <f t="shared" si="23"/>
        <v>0.29000000000000015</v>
      </c>
      <c r="B195" s="2">
        <f t="shared" si="13"/>
        <v>773.15</v>
      </c>
      <c r="C195" s="2">
        <f t="shared" si="14"/>
        <v>1.3776728439059158</v>
      </c>
      <c r="D195" s="2">
        <f t="shared" si="15"/>
        <v>-0.17268087812114627</v>
      </c>
      <c r="E195" s="2">
        <f t="shared" si="16"/>
        <v>7.5707704261701675E-2</v>
      </c>
      <c r="F195" s="2">
        <f t="shared" si="17"/>
        <v>0.27800000000000002</v>
      </c>
      <c r="G195" s="2">
        <f t="shared" si="18"/>
        <v>-1.3174992565583498E-4</v>
      </c>
      <c r="H195" s="2">
        <f t="shared" si="19"/>
        <v>0.94670948142778544</v>
      </c>
      <c r="I195" s="2">
        <f t="shared" si="20"/>
        <v>1.5225904666070591</v>
      </c>
      <c r="J195" s="2">
        <f t="shared" si="21"/>
        <v>2.0248992569496692E-3</v>
      </c>
      <c r="K195" s="2">
        <f t="shared" si="24"/>
        <v>8.9610158217018565E-2</v>
      </c>
      <c r="L195" s="2">
        <f t="shared" si="22"/>
        <v>2.1388813534388667E-3</v>
      </c>
      <c r="M195" s="2">
        <f t="shared" si="25"/>
        <v>9.4654336916402779E-2</v>
      </c>
    </row>
    <row r="196" spans="1:13" ht="15" hidden="1" x14ac:dyDescent="0.25">
      <c r="A196" s="2">
        <f t="shared" si="23"/>
        <v>0.29500000000000015</v>
      </c>
      <c r="B196" s="2">
        <f t="shared" si="13"/>
        <v>773.15</v>
      </c>
      <c r="C196" s="2">
        <f t="shared" si="14"/>
        <v>1.3776728439059158</v>
      </c>
      <c r="D196" s="2">
        <f t="shared" si="15"/>
        <v>-0.17268087812114627</v>
      </c>
      <c r="E196" s="2">
        <f t="shared" si="16"/>
        <v>7.5707704261701675E-2</v>
      </c>
      <c r="F196" s="2">
        <f t="shared" si="17"/>
        <v>0.27800000000000002</v>
      </c>
      <c r="G196" s="2">
        <f t="shared" si="18"/>
        <v>-1.3174992565583498E-4</v>
      </c>
      <c r="H196" s="2">
        <f t="shared" si="19"/>
        <v>0.94670948142778544</v>
      </c>
      <c r="I196" s="2">
        <f t="shared" si="20"/>
        <v>1.5225904666070591</v>
      </c>
      <c r="J196" s="2">
        <f t="shared" si="21"/>
        <v>2.0471643540627559E-3</v>
      </c>
      <c r="K196" s="2">
        <f t="shared" si="24"/>
        <v>9.1657322571081321E-2</v>
      </c>
      <c r="L196" s="2">
        <f t="shared" si="22"/>
        <v>2.1623997585566725E-3</v>
      </c>
      <c r="M196" s="2">
        <f t="shared" si="25"/>
        <v>9.681673667495945E-2</v>
      </c>
    </row>
    <row r="197" spans="1:13" ht="15" hidden="1" x14ac:dyDescent="0.25">
      <c r="A197" s="2">
        <f t="shared" si="23"/>
        <v>0.30000000000000016</v>
      </c>
      <c r="B197" s="2">
        <f t="shared" si="13"/>
        <v>773.15</v>
      </c>
      <c r="C197" s="2">
        <f t="shared" si="14"/>
        <v>1.3776728439059158</v>
      </c>
      <c r="D197" s="2">
        <f t="shared" si="15"/>
        <v>-0.17268087812114627</v>
      </c>
      <c r="E197" s="2">
        <f t="shared" si="16"/>
        <v>7.5707704261701675E-2</v>
      </c>
      <c r="F197" s="2">
        <f t="shared" si="17"/>
        <v>0.27800000000000002</v>
      </c>
      <c r="G197" s="2">
        <f t="shared" si="18"/>
        <v>-1.3174992565583498E-4</v>
      </c>
      <c r="H197" s="2">
        <f t="shared" si="19"/>
        <v>0.94670948142778544</v>
      </c>
      <c r="I197" s="2">
        <f t="shared" si="20"/>
        <v>1.5225904666070591</v>
      </c>
      <c r="J197" s="2">
        <f t="shared" si="21"/>
        <v>2.0697475239917443E-3</v>
      </c>
      <c r="K197" s="2">
        <f t="shared" si="24"/>
        <v>9.372707009507307E-2</v>
      </c>
      <c r="L197" s="2">
        <f t="shared" si="22"/>
        <v>2.1862541408904476E-3</v>
      </c>
      <c r="M197" s="2">
        <f t="shared" si="25"/>
        <v>9.9002990815849901E-2</v>
      </c>
    </row>
    <row r="198" spans="1:13" ht="15" hidden="1" x14ac:dyDescent="0.25">
      <c r="A198" s="2">
        <f t="shared" si="23"/>
        <v>0.30500000000000016</v>
      </c>
      <c r="B198" s="2">
        <f t="shared" si="13"/>
        <v>773.15</v>
      </c>
      <c r="C198" s="2">
        <f t="shared" si="14"/>
        <v>1.3776728439059158</v>
      </c>
      <c r="D198" s="2">
        <f t="shared" si="15"/>
        <v>-0.17268087812114627</v>
      </c>
      <c r="E198" s="2">
        <f t="shared" si="16"/>
        <v>7.5707704261701675E-2</v>
      </c>
      <c r="F198" s="2">
        <f t="shared" si="17"/>
        <v>0.27800000000000002</v>
      </c>
      <c r="G198" s="2">
        <f t="shared" si="18"/>
        <v>-1.3174992565583498E-4</v>
      </c>
      <c r="H198" s="2">
        <f t="shared" si="19"/>
        <v>0.94670948142778544</v>
      </c>
      <c r="I198" s="2">
        <f t="shared" si="20"/>
        <v>1.5225904666070591</v>
      </c>
      <c r="J198" s="2">
        <f t="shared" si="21"/>
        <v>2.0926556316175522E-3</v>
      </c>
      <c r="K198" s="2">
        <f t="shared" si="24"/>
        <v>9.5819725726690619E-2</v>
      </c>
      <c r="L198" s="2">
        <f t="shared" si="22"/>
        <v>2.2104517517470101E-3</v>
      </c>
      <c r="M198" s="2">
        <f t="shared" si="25"/>
        <v>0.10121344256759691</v>
      </c>
    </row>
    <row r="199" spans="1:13" ht="15" hidden="1" x14ac:dyDescent="0.25">
      <c r="A199" s="2">
        <f t="shared" si="23"/>
        <v>0.31000000000000016</v>
      </c>
      <c r="B199" s="2">
        <f t="shared" si="13"/>
        <v>773.15</v>
      </c>
      <c r="C199" s="2">
        <f t="shared" si="14"/>
        <v>1.3776728439059158</v>
      </c>
      <c r="D199" s="2">
        <f t="shared" si="15"/>
        <v>-0.17268087812114627</v>
      </c>
      <c r="E199" s="2">
        <f t="shared" si="16"/>
        <v>7.5707704261701675E-2</v>
      </c>
      <c r="F199" s="2">
        <f t="shared" si="17"/>
        <v>0.27800000000000002</v>
      </c>
      <c r="G199" s="2">
        <f t="shared" si="18"/>
        <v>-1.3174992565583498E-4</v>
      </c>
      <c r="H199" s="2">
        <f t="shared" si="19"/>
        <v>0.94670948142778544</v>
      </c>
      <c r="I199" s="2">
        <f t="shared" si="20"/>
        <v>1.5225904666070591</v>
      </c>
      <c r="J199" s="2">
        <f t="shared" si="21"/>
        <v>2.1158957408031536E-3</v>
      </c>
      <c r="K199" s="2">
        <f t="shared" si="24"/>
        <v>9.7935621467493766E-2</v>
      </c>
      <c r="L199" s="2">
        <f t="shared" si="22"/>
        <v>2.2350000526159867E-3</v>
      </c>
      <c r="M199" s="2">
        <f t="shared" si="25"/>
        <v>0.1034484426202129</v>
      </c>
    </row>
    <row r="200" spans="1:13" ht="15" hidden="1" x14ac:dyDescent="0.25">
      <c r="A200" s="2">
        <f t="shared" si="23"/>
        <v>0.31500000000000017</v>
      </c>
      <c r="B200" s="2">
        <f t="shared" si="13"/>
        <v>773.15</v>
      </c>
      <c r="C200" s="2">
        <f t="shared" si="14"/>
        <v>1.3776728439059158</v>
      </c>
      <c r="D200" s="2">
        <f t="shared" si="15"/>
        <v>-0.17268087812114627</v>
      </c>
      <c r="E200" s="2">
        <f t="shared" si="16"/>
        <v>7.5707704261701675E-2</v>
      </c>
      <c r="F200" s="2">
        <f t="shared" si="17"/>
        <v>0.27800000000000002</v>
      </c>
      <c r="G200" s="2">
        <f t="shared" si="18"/>
        <v>-1.3174992565583498E-4</v>
      </c>
      <c r="H200" s="2">
        <f t="shared" si="19"/>
        <v>0.94670948142778544</v>
      </c>
      <c r="I200" s="2">
        <f t="shared" si="20"/>
        <v>1.5225904666070591</v>
      </c>
      <c r="J200" s="2">
        <f t="shared" si="21"/>
        <v>2.1394751216556999E-3</v>
      </c>
      <c r="K200" s="2">
        <f t="shared" si="24"/>
        <v>0.10007509658914947</v>
      </c>
      <c r="L200" s="2">
        <f t="shared" si="22"/>
        <v>2.2599067228407151E-3</v>
      </c>
      <c r="M200" s="2">
        <f t="shared" si="25"/>
        <v>0.10570834934305361</v>
      </c>
    </row>
    <row r="201" spans="1:13" ht="15" hidden="1" x14ac:dyDescent="0.25">
      <c r="A201" s="2">
        <f t="shared" si="23"/>
        <v>0.32000000000000017</v>
      </c>
      <c r="B201" s="2">
        <f t="shared" si="13"/>
        <v>773.15</v>
      </c>
      <c r="C201" s="2">
        <f t="shared" si="14"/>
        <v>1.3776728439059158</v>
      </c>
      <c r="D201" s="2">
        <f t="shared" si="15"/>
        <v>-0.17268087812114627</v>
      </c>
      <c r="E201" s="2">
        <f t="shared" si="16"/>
        <v>7.5707704261701675E-2</v>
      </c>
      <c r="F201" s="2">
        <f t="shared" si="17"/>
        <v>0.27800000000000002</v>
      </c>
      <c r="G201" s="2">
        <f t="shared" si="18"/>
        <v>-1.3174992565583498E-4</v>
      </c>
      <c r="H201" s="2">
        <f t="shared" si="19"/>
        <v>0.94670948142778544</v>
      </c>
      <c r="I201" s="2">
        <f t="shared" si="20"/>
        <v>1.5225904666070591</v>
      </c>
      <c r="J201" s="2">
        <f t="shared" si="21"/>
        <v>2.1634012581090178E-3</v>
      </c>
      <c r="K201" s="2">
        <f t="shared" si="24"/>
        <v>0.10223849784725848</v>
      </c>
      <c r="L201" s="2">
        <f t="shared" si="22"/>
        <v>2.2851796676275717E-3</v>
      </c>
      <c r="M201" s="2">
        <f t="shared" si="25"/>
        <v>0.10799352901068118</v>
      </c>
    </row>
    <row r="202" spans="1:13" ht="15" hidden="1" x14ac:dyDescent="0.25">
      <c r="A202" s="2">
        <f t="shared" si="23"/>
        <v>0.32500000000000018</v>
      </c>
      <c r="B202" s="2">
        <f t="shared" si="13"/>
        <v>773.15</v>
      </c>
      <c r="C202" s="2">
        <f t="shared" si="14"/>
        <v>1.3776728439059158</v>
      </c>
      <c r="D202" s="2">
        <f t="shared" si="15"/>
        <v>-0.17268087812114627</v>
      </c>
      <c r="E202" s="2">
        <f t="shared" si="16"/>
        <v>7.5707704261701675E-2</v>
      </c>
      <c r="F202" s="2">
        <f t="shared" si="17"/>
        <v>0.27800000000000002</v>
      </c>
      <c r="G202" s="2">
        <f t="shared" si="18"/>
        <v>-1.3174992565583498E-4</v>
      </c>
      <c r="H202" s="2">
        <f t="shared" si="19"/>
        <v>0.94670948142778544</v>
      </c>
      <c r="I202" s="2">
        <f t="shared" si="20"/>
        <v>1.5225904666070591</v>
      </c>
      <c r="J202" s="2">
        <f t="shared" si="21"/>
        <v>2.1876818558431254E-3</v>
      </c>
      <c r="K202" s="2">
        <f t="shared" si="24"/>
        <v>0.10442617970310161</v>
      </c>
      <c r="L202" s="2">
        <f t="shared" si="22"/>
        <v>2.3108270264112704E-3</v>
      </c>
      <c r="M202" s="2">
        <f t="shared" si="25"/>
        <v>0.11030435603709246</v>
      </c>
    </row>
    <row r="203" spans="1:13" ht="15" hidden="1" x14ac:dyDescent="0.25">
      <c r="A203" s="2">
        <f t="shared" si="23"/>
        <v>0.33000000000000018</v>
      </c>
      <c r="B203" s="2">
        <f t="shared" si="13"/>
        <v>773.15</v>
      </c>
      <c r="C203" s="2">
        <f t="shared" si="14"/>
        <v>1.3776728439059158</v>
      </c>
      <c r="D203" s="2">
        <f t="shared" si="15"/>
        <v>-0.17268087812114627</v>
      </c>
      <c r="E203" s="2">
        <f t="shared" si="16"/>
        <v>7.5707704261701675E-2</v>
      </c>
      <c r="F203" s="2">
        <f t="shared" si="17"/>
        <v>0.27800000000000002</v>
      </c>
      <c r="G203" s="2">
        <f t="shared" si="18"/>
        <v>-1.3174992565583498E-4</v>
      </c>
      <c r="H203" s="2">
        <f t="shared" si="19"/>
        <v>0.94670948142778544</v>
      </c>
      <c r="I203" s="2">
        <f t="shared" si="20"/>
        <v>1.5225904666070591</v>
      </c>
      <c r="J203" s="2">
        <f t="shared" si="21"/>
        <v>2.2123248505583398E-3</v>
      </c>
      <c r="K203" s="2">
        <f t="shared" si="24"/>
        <v>0.10663850455365995</v>
      </c>
      <c r="L203" s="2">
        <f t="shared" si="22"/>
        <v>2.3368571815947266E-3</v>
      </c>
      <c r="M203" s="2">
        <f t="shared" si="25"/>
        <v>0.11264121321868718</v>
      </c>
    </row>
    <row r="204" spans="1:13" ht="15" hidden="1" x14ac:dyDescent="0.25">
      <c r="A204" s="2">
        <f t="shared" si="23"/>
        <v>0.33500000000000019</v>
      </c>
      <c r="B204" s="2">
        <f t="shared" si="13"/>
        <v>773.15</v>
      </c>
      <c r="C204" s="2">
        <f t="shared" si="14"/>
        <v>1.3776728439059158</v>
      </c>
      <c r="D204" s="2">
        <f t="shared" si="15"/>
        <v>-0.17268087812114627</v>
      </c>
      <c r="E204" s="2">
        <f t="shared" si="16"/>
        <v>7.5707704261701675E-2</v>
      </c>
      <c r="F204" s="2">
        <f t="shared" si="17"/>
        <v>0.27800000000000002</v>
      </c>
      <c r="G204" s="2">
        <f t="shared" si="18"/>
        <v>-1.3174992565583498E-4</v>
      </c>
      <c r="H204" s="2">
        <f t="shared" si="19"/>
        <v>0.94670948142778544</v>
      </c>
      <c r="I204" s="2">
        <f t="shared" si="20"/>
        <v>1.5225904666070591</v>
      </c>
      <c r="J204" s="2">
        <f t="shared" si="21"/>
        <v>2.2373384166226545E-3</v>
      </c>
      <c r="K204" s="2">
        <f t="shared" si="24"/>
        <v>0.1088758429702826</v>
      </c>
      <c r="L204" s="2">
        <f t="shared" si="22"/>
        <v>2.3632787676831964E-3</v>
      </c>
      <c r="M204" s="2">
        <f t="shared" si="25"/>
        <v>0.11500449198637037</v>
      </c>
    </row>
    <row r="205" spans="1:13" ht="15" hidden="1" x14ac:dyDescent="0.25">
      <c r="A205" s="2">
        <f t="shared" si="23"/>
        <v>0.34000000000000019</v>
      </c>
      <c r="B205" s="2">
        <f t="shared" si="13"/>
        <v>773.15</v>
      </c>
      <c r="C205" s="2">
        <f t="shared" si="14"/>
        <v>1.3776728439059158</v>
      </c>
      <c r="D205" s="2">
        <f t="shared" si="15"/>
        <v>-0.17268087812114627</v>
      </c>
      <c r="E205" s="2">
        <f t="shared" si="16"/>
        <v>7.5707704261701675E-2</v>
      </c>
      <c r="F205" s="2">
        <f t="shared" si="17"/>
        <v>0.27800000000000002</v>
      </c>
      <c r="G205" s="2">
        <f t="shared" si="18"/>
        <v>-1.3174992565583498E-4</v>
      </c>
      <c r="H205" s="2">
        <f t="shared" si="19"/>
        <v>0.94670948142778544</v>
      </c>
      <c r="I205" s="2">
        <f t="shared" si="20"/>
        <v>1.5225904666070591</v>
      </c>
      <c r="J205" s="2">
        <f t="shared" si="21"/>
        <v>2.2627309761121869E-3</v>
      </c>
      <c r="K205" s="2">
        <f t="shared" si="24"/>
        <v>0.11113857394639479</v>
      </c>
      <c r="L205" s="2">
        <f t="shared" si="22"/>
        <v>2.390100680833613E-3</v>
      </c>
      <c r="M205" s="2">
        <f t="shared" si="25"/>
        <v>0.11739459266720399</v>
      </c>
    </row>
    <row r="206" spans="1:13" ht="15" hidden="1" x14ac:dyDescent="0.25">
      <c r="A206" s="2">
        <f t="shared" si="23"/>
        <v>0.3450000000000002</v>
      </c>
      <c r="B206" s="2">
        <f t="shared" si="13"/>
        <v>773.15</v>
      </c>
      <c r="C206" s="2">
        <f t="shared" si="14"/>
        <v>1.3776728439059158</v>
      </c>
      <c r="D206" s="2">
        <f t="shared" si="15"/>
        <v>-0.17268087812114627</v>
      </c>
      <c r="E206" s="2">
        <f t="shared" si="16"/>
        <v>7.5707704261701675E-2</v>
      </c>
      <c r="F206" s="2">
        <f t="shared" si="17"/>
        <v>0.27800000000000002</v>
      </c>
      <c r="G206" s="2">
        <f t="shared" si="18"/>
        <v>-1.3174992565583498E-4</v>
      </c>
      <c r="H206" s="2">
        <f t="shared" si="19"/>
        <v>0.94670948142778544</v>
      </c>
      <c r="I206" s="2">
        <f t="shared" si="20"/>
        <v>1.5225904666070591</v>
      </c>
      <c r="J206" s="2">
        <f t="shared" si="21"/>
        <v>2.2885112082656808E-3</v>
      </c>
      <c r="K206" s="2">
        <f t="shared" si="24"/>
        <v>0.11342708515466046</v>
      </c>
      <c r="L206" s="2">
        <f t="shared" si="22"/>
        <v>2.4173320888412875E-3</v>
      </c>
      <c r="M206" s="2">
        <f t="shared" si="25"/>
        <v>0.11981192475604528</v>
      </c>
    </row>
    <row r="207" spans="1:13" ht="15" hidden="1" x14ac:dyDescent="0.25">
      <c r="A207" s="2">
        <f t="shared" si="23"/>
        <v>0.3500000000000002</v>
      </c>
      <c r="B207" s="2">
        <f t="shared" si="13"/>
        <v>773.15</v>
      </c>
      <c r="C207" s="2">
        <f t="shared" si="14"/>
        <v>1.3776728439059158</v>
      </c>
      <c r="D207" s="2">
        <f t="shared" si="15"/>
        <v>-0.17268087812114627</v>
      </c>
      <c r="E207" s="2">
        <f t="shared" si="16"/>
        <v>7.5707704261701675E-2</v>
      </c>
      <c r="F207" s="2">
        <f t="shared" si="17"/>
        <v>0.27800000000000002</v>
      </c>
      <c r="G207" s="2">
        <f t="shared" si="18"/>
        <v>-1.3174992565583498E-4</v>
      </c>
      <c r="H207" s="2">
        <f t="shared" si="19"/>
        <v>0.94670948142778544</v>
      </c>
      <c r="I207" s="2">
        <f t="shared" si="20"/>
        <v>1.5225904666070591</v>
      </c>
      <c r="J207" s="2">
        <f t="shared" si="21"/>
        <v>2.3146880593753823E-3</v>
      </c>
      <c r="K207" s="2">
        <f t="shared" si="24"/>
        <v>0.11574177321403585</v>
      </c>
      <c r="L207" s="2">
        <f t="shared" si="22"/>
        <v>2.4449824415875418E-3</v>
      </c>
      <c r="M207" s="2">
        <f t="shared" si="25"/>
        <v>0.12225690719763282</v>
      </c>
    </row>
    <row r="208" spans="1:13" ht="15" hidden="1" x14ac:dyDescent="0.25">
      <c r="A208" s="2">
        <f t="shared" si="23"/>
        <v>0.3550000000000002</v>
      </c>
      <c r="B208" s="2">
        <f t="shared" si="13"/>
        <v>773.15</v>
      </c>
      <c r="C208" s="2">
        <f t="shared" si="14"/>
        <v>1.3776728439059158</v>
      </c>
      <c r="D208" s="2">
        <f t="shared" si="15"/>
        <v>-0.17268087812114627</v>
      </c>
      <c r="E208" s="2">
        <f t="shared" si="16"/>
        <v>7.5707704261701675E-2</v>
      </c>
      <c r="F208" s="2">
        <f t="shared" si="17"/>
        <v>0.27800000000000002</v>
      </c>
      <c r="G208" s="2">
        <f t="shared" si="18"/>
        <v>-1.3174992565583498E-4</v>
      </c>
      <c r="H208" s="2">
        <f t="shared" si="19"/>
        <v>0.94670948142778544</v>
      </c>
      <c r="I208" s="2">
        <f t="shared" si="20"/>
        <v>1.5225904666070591</v>
      </c>
      <c r="J208" s="2">
        <f t="shared" si="21"/>
        <v>2.3412707531379477E-3</v>
      </c>
      <c r="K208" s="2">
        <f t="shared" si="24"/>
        <v>0.1180830439671738</v>
      </c>
      <c r="L208" s="2">
        <f t="shared" si="22"/>
        <v>2.4730614819732728E-3</v>
      </c>
      <c r="M208" s="2">
        <f t="shared" si="25"/>
        <v>0.1247299686796061</v>
      </c>
    </row>
    <row r="209" spans="1:13" ht="15" hidden="1" x14ac:dyDescent="0.25">
      <c r="A209" s="2">
        <f t="shared" si="23"/>
        <v>0.36000000000000021</v>
      </c>
      <c r="B209" s="2">
        <f t="shared" si="13"/>
        <v>773.15</v>
      </c>
      <c r="C209" s="2">
        <f t="shared" si="14"/>
        <v>1.3776728439059158</v>
      </c>
      <c r="D209" s="2">
        <f t="shared" si="15"/>
        <v>-0.17268087812114627</v>
      </c>
      <c r="E209" s="2">
        <f t="shared" si="16"/>
        <v>7.5707704261701675E-2</v>
      </c>
      <c r="F209" s="2">
        <f t="shared" si="17"/>
        <v>0.27800000000000002</v>
      </c>
      <c r="G209" s="2">
        <f t="shared" si="18"/>
        <v>-1.3174992565583498E-4</v>
      </c>
      <c r="H209" s="2">
        <f t="shared" si="19"/>
        <v>0.94670948142778544</v>
      </c>
      <c r="I209" s="2">
        <f t="shared" si="20"/>
        <v>1.5225904666070591</v>
      </c>
      <c r="J209" s="2">
        <f t="shared" si="21"/>
        <v>2.3682688014905538E-3</v>
      </c>
      <c r="K209" s="2">
        <f t="shared" si="24"/>
        <v>0.12045131276866435</v>
      </c>
      <c r="L209" s="2">
        <f t="shared" si="22"/>
        <v>2.5015792573650315E-3</v>
      </c>
      <c r="M209" s="2">
        <f t="shared" si="25"/>
        <v>0.12723154793697114</v>
      </c>
    </row>
    <row r="210" spans="1:13" ht="15" hidden="1" x14ac:dyDescent="0.25">
      <c r="A210" s="2">
        <f t="shared" si="23"/>
        <v>0.36500000000000021</v>
      </c>
      <c r="B210" s="2">
        <f t="shared" si="13"/>
        <v>773.15</v>
      </c>
      <c r="C210" s="2">
        <f t="shared" si="14"/>
        <v>1.3776728439059158</v>
      </c>
      <c r="D210" s="2">
        <f t="shared" si="15"/>
        <v>-0.17268087812114627</v>
      </c>
      <c r="E210" s="2">
        <f t="shared" si="16"/>
        <v>7.5707704261701675E-2</v>
      </c>
      <c r="F210" s="2">
        <f t="shared" si="17"/>
        <v>0.27800000000000002</v>
      </c>
      <c r="G210" s="2">
        <f t="shared" si="18"/>
        <v>-1.3174992565583498E-4</v>
      </c>
      <c r="H210" s="2">
        <f t="shared" si="19"/>
        <v>0.94670948142778544</v>
      </c>
      <c r="I210" s="2">
        <f t="shared" si="20"/>
        <v>1.5225904666070591</v>
      </c>
      <c r="J210" s="2">
        <f t="shared" si="21"/>
        <v>2.3956920159589482E-3</v>
      </c>
      <c r="K210" s="2">
        <f t="shared" si="24"/>
        <v>0.12284700478462329</v>
      </c>
      <c r="L210" s="2">
        <f t="shared" si="22"/>
        <v>2.5305461315818568E-3</v>
      </c>
      <c r="M210" s="2">
        <f t="shared" si="25"/>
        <v>0.12976209406855299</v>
      </c>
    </row>
    <row r="211" spans="1:13" ht="15" hidden="1" x14ac:dyDescent="0.25">
      <c r="A211" s="2">
        <f t="shared" si="23"/>
        <v>0.37000000000000022</v>
      </c>
      <c r="B211" s="2">
        <f t="shared" si="13"/>
        <v>773.15</v>
      </c>
      <c r="C211" s="2">
        <f t="shared" si="14"/>
        <v>1.3776728439059158</v>
      </c>
      <c r="D211" s="2">
        <f t="shared" si="15"/>
        <v>-0.17268087812114627</v>
      </c>
      <c r="E211" s="2">
        <f t="shared" si="16"/>
        <v>7.5707704261701675E-2</v>
      </c>
      <c r="F211" s="2">
        <f t="shared" si="17"/>
        <v>0.27800000000000002</v>
      </c>
      <c r="G211" s="2">
        <f t="shared" si="18"/>
        <v>-1.3174992565583498E-4</v>
      </c>
      <c r="H211" s="2">
        <f t="shared" si="19"/>
        <v>0.94670948142778544</v>
      </c>
      <c r="I211" s="2">
        <f t="shared" si="20"/>
        <v>1.5225904666070591</v>
      </c>
      <c r="J211" s="2">
        <f t="shared" si="21"/>
        <v>2.4235505195458881E-3</v>
      </c>
      <c r="K211" s="2">
        <f t="shared" si="24"/>
        <v>0.12527055530416917</v>
      </c>
      <c r="L211" s="2">
        <f t="shared" si="22"/>
        <v>2.5599727974529168E-3</v>
      </c>
      <c r="M211" s="2">
        <f t="shared" si="25"/>
        <v>0.13232206686600589</v>
      </c>
    </row>
    <row r="212" spans="1:13" ht="15" hidden="1" x14ac:dyDescent="0.25">
      <c r="A212" s="2">
        <f t="shared" si="23"/>
        <v>0.37500000000000022</v>
      </c>
      <c r="B212" s="2">
        <f t="shared" si="13"/>
        <v>773.15</v>
      </c>
      <c r="C212" s="2">
        <f t="shared" si="14"/>
        <v>1.3776728439059158</v>
      </c>
      <c r="D212" s="2">
        <f t="shared" si="15"/>
        <v>-0.17268087812114627</v>
      </c>
      <c r="E212" s="2">
        <f t="shared" si="16"/>
        <v>7.5707704261701675E-2</v>
      </c>
      <c r="F212" s="2">
        <f t="shared" si="17"/>
        <v>0.27800000000000002</v>
      </c>
      <c r="G212" s="2">
        <f t="shared" si="18"/>
        <v>-1.3174992565583498E-4</v>
      </c>
      <c r="H212" s="2">
        <f t="shared" si="19"/>
        <v>0.94670948142778544</v>
      </c>
      <c r="I212" s="2">
        <f t="shared" si="20"/>
        <v>1.5225904666070591</v>
      </c>
      <c r="J212" s="2">
        <f t="shared" si="21"/>
        <v>2.4518547591902205E-3</v>
      </c>
      <c r="K212" s="2">
        <f t="shared" si="24"/>
        <v>0.12772241006335938</v>
      </c>
      <c r="L212" s="2">
        <f t="shared" si="22"/>
        <v>2.5898702899779151E-3</v>
      </c>
      <c r="M212" s="2">
        <f t="shared" si="25"/>
        <v>0.13491193715598382</v>
      </c>
    </row>
    <row r="213" spans="1:13" ht="15" hidden="1" x14ac:dyDescent="0.25">
      <c r="A213" s="2">
        <f t="shared" si="23"/>
        <v>0.38000000000000023</v>
      </c>
      <c r="B213" s="2">
        <f t="shared" si="13"/>
        <v>773.15</v>
      </c>
      <c r="C213" s="2">
        <f t="shared" si="14"/>
        <v>1.3776728439059158</v>
      </c>
      <c r="D213" s="2">
        <f t="shared" si="15"/>
        <v>-0.17268087812114627</v>
      </c>
      <c r="E213" s="2">
        <f t="shared" si="16"/>
        <v>7.5707704261701675E-2</v>
      </c>
      <c r="F213" s="2">
        <f t="shared" si="17"/>
        <v>0.27800000000000002</v>
      </c>
      <c r="G213" s="2">
        <f t="shared" si="18"/>
        <v>-1.3174992565583498E-4</v>
      </c>
      <c r="H213" s="2">
        <f t="shared" si="19"/>
        <v>0.94670948142778544</v>
      </c>
      <c r="I213" s="2">
        <f t="shared" si="20"/>
        <v>1.5225904666070591</v>
      </c>
      <c r="J213" s="2">
        <f t="shared" si="21"/>
        <v>2.4806155188288152E-3</v>
      </c>
      <c r="K213" s="2">
        <f t="shared" si="24"/>
        <v>0.13020302558218819</v>
      </c>
      <c r="L213" s="2">
        <f t="shared" si="22"/>
        <v>2.6202500001242836E-3</v>
      </c>
      <c r="M213" s="2">
        <f t="shared" si="25"/>
        <v>0.1375321871561081</v>
      </c>
    </row>
    <row r="214" spans="1:13" ht="15" hidden="1" x14ac:dyDescent="0.25">
      <c r="A214" s="2">
        <f t="shared" si="23"/>
        <v>0.38500000000000023</v>
      </c>
      <c r="B214" s="2">
        <f t="shared" si="13"/>
        <v>773.15</v>
      </c>
      <c r="C214" s="2">
        <f t="shared" si="14"/>
        <v>1.3776728439059158</v>
      </c>
      <c r="D214" s="2">
        <f t="shared" si="15"/>
        <v>-0.17268087812114627</v>
      </c>
      <c r="E214" s="2">
        <f t="shared" si="16"/>
        <v>7.5707704261701675E-2</v>
      </c>
      <c r="F214" s="2">
        <f t="shared" si="17"/>
        <v>0.27800000000000002</v>
      </c>
      <c r="G214" s="2">
        <f t="shared" si="18"/>
        <v>-1.3174992565583498E-4</v>
      </c>
      <c r="H214" s="2">
        <f t="shared" si="19"/>
        <v>0.94670948142778544</v>
      </c>
      <c r="I214" s="2">
        <f t="shared" si="20"/>
        <v>1.5225904666070591</v>
      </c>
      <c r="J214" s="2">
        <f t="shared" si="21"/>
        <v>2.50984393309568E-3</v>
      </c>
      <c r="K214" s="2">
        <f t="shared" si="24"/>
        <v>0.13271286951528385</v>
      </c>
      <c r="L214" s="2">
        <f t="shared" si="22"/>
        <v>2.6511236892974221E-3</v>
      </c>
      <c r="M214" s="2">
        <f t="shared" si="25"/>
        <v>0.14018331084540553</v>
      </c>
    </row>
    <row r="215" spans="1:13" ht="15" hidden="1" x14ac:dyDescent="0.25">
      <c r="A215" s="2">
        <f t="shared" si="23"/>
        <v>0.39000000000000024</v>
      </c>
      <c r="B215" s="2">
        <f t="shared" si="13"/>
        <v>773.15</v>
      </c>
      <c r="C215" s="2">
        <f t="shared" si="14"/>
        <v>1.3776728439059158</v>
      </c>
      <c r="D215" s="2">
        <f t="shared" si="15"/>
        <v>-0.17268087812114627</v>
      </c>
      <c r="E215" s="2">
        <f t="shared" si="16"/>
        <v>7.5707704261701675E-2</v>
      </c>
      <c r="F215" s="2">
        <f t="shared" si="17"/>
        <v>0.27800000000000002</v>
      </c>
      <c r="G215" s="2">
        <f t="shared" si="18"/>
        <v>-1.3174992565583498E-4</v>
      </c>
      <c r="H215" s="2">
        <f t="shared" si="19"/>
        <v>0.94670948142778544</v>
      </c>
      <c r="I215" s="2">
        <f t="shared" si="20"/>
        <v>1.5225904666070591</v>
      </c>
      <c r="J215" s="2">
        <f t="shared" si="21"/>
        <v>2.5395515016947883E-3</v>
      </c>
      <c r="K215" s="2">
        <f t="shared" si="24"/>
        <v>0.13525242101697865</v>
      </c>
      <c r="L215" s="2">
        <f t="shared" si="22"/>
        <v>2.6825035045225792E-3</v>
      </c>
      <c r="M215" s="2">
        <f t="shared" si="25"/>
        <v>0.14286581434992812</v>
      </c>
    </row>
    <row r="216" spans="1:13" ht="15" hidden="1" x14ac:dyDescent="0.25">
      <c r="A216" s="2">
        <f t="shared" si="23"/>
        <v>0.39500000000000024</v>
      </c>
      <c r="B216" s="2">
        <f t="shared" si="13"/>
        <v>773.15</v>
      </c>
      <c r="C216" s="2">
        <f t="shared" si="14"/>
        <v>1.3776728439059158</v>
      </c>
      <c r="D216" s="2">
        <f t="shared" si="15"/>
        <v>-0.17268087812114627</v>
      </c>
      <c r="E216" s="2">
        <f t="shared" si="16"/>
        <v>7.5707704261701675E-2</v>
      </c>
      <c r="F216" s="2">
        <f t="shared" si="17"/>
        <v>0.27800000000000002</v>
      </c>
      <c r="G216" s="2">
        <f t="shared" si="18"/>
        <v>-1.3174992565583498E-4</v>
      </c>
      <c r="H216" s="2">
        <f t="shared" si="19"/>
        <v>0.94670948142778544</v>
      </c>
      <c r="I216" s="2">
        <f t="shared" si="20"/>
        <v>1.5225904666070591</v>
      </c>
      <c r="J216" s="2">
        <f t="shared" si="21"/>
        <v>2.5697501044856181E-3</v>
      </c>
      <c r="K216" s="2">
        <f t="shared" si="24"/>
        <v>0.13782217112146428</v>
      </c>
      <c r="L216" s="2">
        <f t="shared" si="22"/>
        <v>2.7144019943795578E-3</v>
      </c>
      <c r="M216" s="2">
        <f t="shared" si="25"/>
        <v>0.14558021634430768</v>
      </c>
    </row>
    <row r="217" spans="1:13" ht="15" hidden="1" x14ac:dyDescent="0.25">
      <c r="A217" s="2">
        <f t="shared" si="23"/>
        <v>0.40000000000000024</v>
      </c>
      <c r="B217" s="2">
        <f t="shared" si="13"/>
        <v>773.15</v>
      </c>
      <c r="C217" s="2">
        <f t="shared" si="14"/>
        <v>1.3776728439059158</v>
      </c>
      <c r="D217" s="2">
        <f t="shared" si="15"/>
        <v>-0.17268087812114627</v>
      </c>
      <c r="E217" s="2">
        <f t="shared" si="16"/>
        <v>7.5707704261701675E-2</v>
      </c>
      <c r="F217" s="2">
        <f t="shared" si="17"/>
        <v>0.27800000000000002</v>
      </c>
      <c r="G217" s="2">
        <f t="shared" si="18"/>
        <v>-1.3174992565583498E-4</v>
      </c>
      <c r="H217" s="2">
        <f t="shared" si="19"/>
        <v>0.94670948142778544</v>
      </c>
      <c r="I217" s="2">
        <f t="shared" si="20"/>
        <v>1.5225904666070591</v>
      </c>
      <c r="J217" s="2">
        <f t="shared" si="21"/>
        <v>2.6004520173229613E-3</v>
      </c>
      <c r="K217" s="2">
        <f t="shared" si="24"/>
        <v>0.14042262313878723</v>
      </c>
      <c r="L217" s="2">
        <f t="shared" si="22"/>
        <v>2.746832125734153E-3</v>
      </c>
      <c r="M217" s="2">
        <f t="shared" si="25"/>
        <v>0.14832704847004183</v>
      </c>
    </row>
    <row r="218" spans="1:13" ht="15" hidden="1" x14ac:dyDescent="0.25">
      <c r="A218" s="2">
        <f t="shared" si="23"/>
        <v>0.40500000000000025</v>
      </c>
      <c r="B218" s="2">
        <f t="shared" si="13"/>
        <v>773.15</v>
      </c>
      <c r="C218" s="2">
        <f t="shared" si="14"/>
        <v>1.3776728439059158</v>
      </c>
      <c r="D218" s="2">
        <f t="shared" si="15"/>
        <v>-0.17268087812114627</v>
      </c>
      <c r="E218" s="2">
        <f t="shared" si="16"/>
        <v>7.5707704261701675E-2</v>
      </c>
      <c r="F218" s="2">
        <f t="shared" si="17"/>
        <v>0.27800000000000002</v>
      </c>
      <c r="G218" s="2">
        <f t="shared" si="18"/>
        <v>-1.3174992565583498E-4</v>
      </c>
      <c r="H218" s="2">
        <f t="shared" si="19"/>
        <v>0.94670948142778544</v>
      </c>
      <c r="I218" s="2">
        <f t="shared" si="20"/>
        <v>1.5225904666070591</v>
      </c>
      <c r="J218" s="2">
        <f t="shared" si="21"/>
        <v>2.6316699286953855E-3</v>
      </c>
      <c r="K218" s="2">
        <f t="shared" si="24"/>
        <v>0.1430542930674826</v>
      </c>
      <c r="L218" s="2">
        <f t="shared" si="22"/>
        <v>2.779807301313194E-3</v>
      </c>
      <c r="M218" s="2">
        <f t="shared" si="25"/>
        <v>0.15110685577135502</v>
      </c>
    </row>
    <row r="219" spans="1:13" ht="15" hidden="1" x14ac:dyDescent="0.25">
      <c r="A219" s="2">
        <f t="shared" si="23"/>
        <v>0.41000000000000025</v>
      </c>
      <c r="B219" s="2">
        <f t="shared" si="13"/>
        <v>773.15</v>
      </c>
      <c r="C219" s="2">
        <f t="shared" si="14"/>
        <v>1.3776728439059158</v>
      </c>
      <c r="D219" s="2">
        <f t="shared" si="15"/>
        <v>-0.17268087812114627</v>
      </c>
      <c r="E219" s="2">
        <f t="shared" si="16"/>
        <v>7.5707704261701675E-2</v>
      </c>
      <c r="F219" s="2">
        <f t="shared" si="17"/>
        <v>0.27800000000000002</v>
      </c>
      <c r="G219" s="2">
        <f t="shared" si="18"/>
        <v>-1.3174992565583498E-4</v>
      </c>
      <c r="H219" s="2">
        <f t="shared" si="19"/>
        <v>0.94670948142778544</v>
      </c>
      <c r="I219" s="2">
        <f t="shared" si="20"/>
        <v>1.5225904666070591</v>
      </c>
      <c r="J219" s="2">
        <f t="shared" si="21"/>
        <v>2.6634169572097156E-3</v>
      </c>
      <c r="K219" s="2">
        <f t="shared" si="24"/>
        <v>0.1457177100246923</v>
      </c>
      <c r="L219" s="2">
        <f t="shared" si="22"/>
        <v>2.8133413781732358E-3</v>
      </c>
      <c r="M219" s="2">
        <f t="shared" si="25"/>
        <v>0.15392019714952826</v>
      </c>
    </row>
    <row r="220" spans="1:13" ht="15" hidden="1" x14ac:dyDescent="0.25">
      <c r="A220" s="2">
        <f t="shared" si="23"/>
        <v>0.41500000000000026</v>
      </c>
      <c r="B220" s="2">
        <f t="shared" si="13"/>
        <v>773.15</v>
      </c>
      <c r="C220" s="2">
        <f t="shared" si="14"/>
        <v>1.3776728439059158</v>
      </c>
      <c r="D220" s="2">
        <f t="shared" si="15"/>
        <v>-0.17268087812114627</v>
      </c>
      <c r="E220" s="2">
        <f t="shared" si="16"/>
        <v>7.5707704261701675E-2</v>
      </c>
      <c r="F220" s="2">
        <f t="shared" si="17"/>
        <v>0.27800000000000002</v>
      </c>
      <c r="G220" s="2">
        <f t="shared" si="18"/>
        <v>-1.3174992565583498E-4</v>
      </c>
      <c r="H220" s="2">
        <f t="shared" si="19"/>
        <v>0.94670948142778544</v>
      </c>
      <c r="I220" s="2">
        <f t="shared" si="20"/>
        <v>1.5225904666070591</v>
      </c>
      <c r="J220" s="2">
        <f t="shared" si="21"/>
        <v>2.6957066699721532E-3</v>
      </c>
      <c r="K220" s="2">
        <f t="shared" si="24"/>
        <v>0.14841341669466446</v>
      </c>
      <c r="L220" s="2">
        <f t="shared" si="22"/>
        <v>2.8474486871163558E-3</v>
      </c>
      <c r="M220" s="2">
        <f t="shared" si="25"/>
        <v>0.15676764583664463</v>
      </c>
    </row>
    <row r="221" spans="1:13" ht="15" hidden="1" x14ac:dyDescent="0.25">
      <c r="A221" s="2">
        <f t="shared" si="23"/>
        <v>0.42000000000000026</v>
      </c>
      <c r="B221" s="2">
        <f t="shared" si="13"/>
        <v>773.15</v>
      </c>
      <c r="C221" s="2">
        <f t="shared" si="14"/>
        <v>1.3776728439059158</v>
      </c>
      <c r="D221" s="2">
        <f t="shared" si="15"/>
        <v>-0.17268087812114627</v>
      </c>
      <c r="E221" s="2">
        <f t="shared" si="16"/>
        <v>7.5707704261701675E-2</v>
      </c>
      <c r="F221" s="2">
        <f t="shared" si="17"/>
        <v>0.27800000000000002</v>
      </c>
      <c r="G221" s="2">
        <f t="shared" si="18"/>
        <v>-1.3174992565583498E-4</v>
      </c>
      <c r="H221" s="2">
        <f t="shared" si="19"/>
        <v>0.94670948142778544</v>
      </c>
      <c r="I221" s="2">
        <f t="shared" si="20"/>
        <v>1.5225904666070591</v>
      </c>
      <c r="J221" s="2">
        <f t="shared" si="21"/>
        <v>2.7285531019201515E-3</v>
      </c>
      <c r="K221" s="2">
        <f t="shared" si="24"/>
        <v>0.15114196979658462</v>
      </c>
      <c r="L221" s="2">
        <f t="shared" si="22"/>
        <v>2.8821440531102195E-3</v>
      </c>
      <c r="M221" s="2">
        <f t="shared" si="25"/>
        <v>0.15964978988975484</v>
      </c>
    </row>
    <row r="222" spans="1:13" ht="15" hidden="1" x14ac:dyDescent="0.25">
      <c r="A222" s="2">
        <f t="shared" si="23"/>
        <v>0.42500000000000027</v>
      </c>
      <c r="B222" s="2">
        <f t="shared" si="13"/>
        <v>773.15</v>
      </c>
      <c r="C222" s="2">
        <f t="shared" si="14"/>
        <v>1.3776728439059158</v>
      </c>
      <c r="D222" s="2">
        <f t="shared" si="15"/>
        <v>-0.17268087812114627</v>
      </c>
      <c r="E222" s="2">
        <f t="shared" si="16"/>
        <v>7.5707704261701675E-2</v>
      </c>
      <c r="F222" s="2">
        <f t="shared" si="17"/>
        <v>0.27800000000000002</v>
      </c>
      <c r="G222" s="2">
        <f t="shared" si="18"/>
        <v>-1.3174992565583498E-4</v>
      </c>
      <c r="H222" s="2">
        <f t="shared" si="19"/>
        <v>0.94670948142778544</v>
      </c>
      <c r="I222" s="2">
        <f t="shared" si="20"/>
        <v>1.5225904666070591</v>
      </c>
      <c r="J222" s="2">
        <f t="shared" si="21"/>
        <v>2.7619707761628969E-3</v>
      </c>
      <c r="K222" s="2">
        <f t="shared" si="24"/>
        <v>0.15390394057274751</v>
      </c>
      <c r="L222" s="2">
        <f t="shared" si="22"/>
        <v>2.9174428167735413E-3</v>
      </c>
      <c r="M222" s="2">
        <f t="shared" si="25"/>
        <v>0.16256723270652837</v>
      </c>
    </row>
    <row r="223" spans="1:13" ht="15" hidden="1" x14ac:dyDescent="0.25">
      <c r="A223" s="2">
        <f t="shared" si="23"/>
        <v>0.43000000000000027</v>
      </c>
      <c r="B223" s="2">
        <f t="shared" si="13"/>
        <v>773.15</v>
      </c>
      <c r="C223" s="2">
        <f t="shared" si="14"/>
        <v>1.3776728439059158</v>
      </c>
      <c r="D223" s="2">
        <f t="shared" si="15"/>
        <v>-0.17268087812114627</v>
      </c>
      <c r="E223" s="2">
        <f t="shared" si="16"/>
        <v>7.5707704261701675E-2</v>
      </c>
      <c r="F223" s="2">
        <f t="shared" si="17"/>
        <v>0.27800000000000002</v>
      </c>
      <c r="G223" s="2">
        <f t="shared" si="18"/>
        <v>-1.3174992565583498E-4</v>
      </c>
      <c r="H223" s="2">
        <f t="shared" si="19"/>
        <v>0.94670948142778544</v>
      </c>
      <c r="I223" s="2">
        <f t="shared" si="20"/>
        <v>1.5225904666070591</v>
      </c>
      <c r="J223" s="2">
        <f t="shared" si="21"/>
        <v>2.7959747253923565E-3</v>
      </c>
      <c r="K223" s="2">
        <f t="shared" si="24"/>
        <v>0.15669991529813987</v>
      </c>
      <c r="L223" s="2">
        <f t="shared" si="22"/>
        <v>2.9533608569923594E-3</v>
      </c>
      <c r="M223" s="2">
        <f t="shared" si="25"/>
        <v>0.16552059356352072</v>
      </c>
    </row>
    <row r="224" spans="1:13" ht="15" hidden="1" x14ac:dyDescent="0.25">
      <c r="A224" s="2">
        <f t="shared" si="23"/>
        <v>0.43500000000000028</v>
      </c>
      <c r="B224" s="2">
        <f t="shared" si="13"/>
        <v>773.15</v>
      </c>
      <c r="C224" s="2">
        <f t="shared" si="14"/>
        <v>1.3776728439059158</v>
      </c>
      <c r="D224" s="2">
        <f t="shared" si="15"/>
        <v>-0.17268087812114627</v>
      </c>
      <c r="E224" s="2">
        <f t="shared" si="16"/>
        <v>7.5707704261701675E-2</v>
      </c>
      <c r="F224" s="2">
        <f t="shared" si="17"/>
        <v>0.27800000000000002</v>
      </c>
      <c r="G224" s="2">
        <f t="shared" si="18"/>
        <v>-1.3174992565583498E-4</v>
      </c>
      <c r="H224" s="2">
        <f t="shared" si="19"/>
        <v>0.94670948142778544</v>
      </c>
      <c r="I224" s="2">
        <f t="shared" si="20"/>
        <v>1.5225904666070591</v>
      </c>
      <c r="J224" s="2">
        <f t="shared" si="21"/>
        <v>2.8305805144311878E-3</v>
      </c>
      <c r="K224" s="2">
        <f t="shared" si="24"/>
        <v>0.15953049581257106</v>
      </c>
      <c r="L224" s="2">
        <f t="shared" si="22"/>
        <v>2.9899146147371746E-3</v>
      </c>
      <c r="M224" s="2">
        <f t="shared" si="25"/>
        <v>0.16851050817825791</v>
      </c>
    </row>
    <row r="225" spans="1:13" ht="15" hidden="1" x14ac:dyDescent="0.25">
      <c r="A225" s="2">
        <f t="shared" si="23"/>
        <v>0.44000000000000028</v>
      </c>
      <c r="B225" s="2">
        <f t="shared" si="13"/>
        <v>773.15</v>
      </c>
      <c r="C225" s="2">
        <f t="shared" si="14"/>
        <v>1.3776728439059158</v>
      </c>
      <c r="D225" s="2">
        <f t="shared" si="15"/>
        <v>-0.17268087812114627</v>
      </c>
      <c r="E225" s="2">
        <f t="shared" si="16"/>
        <v>7.5707704261701675E-2</v>
      </c>
      <c r="F225" s="2">
        <f t="shared" si="17"/>
        <v>0.27800000000000002</v>
      </c>
      <c r="G225" s="2">
        <f t="shared" si="18"/>
        <v>-1.3174992565583498E-4</v>
      </c>
      <c r="H225" s="2">
        <f t="shared" si="19"/>
        <v>0.94670948142778544</v>
      </c>
      <c r="I225" s="2">
        <f t="shared" si="20"/>
        <v>1.5225904666070591</v>
      </c>
      <c r="J225" s="2">
        <f t="shared" si="21"/>
        <v>2.8658042639885697E-3</v>
      </c>
      <c r="K225" s="2">
        <f t="shared" si="24"/>
        <v>0.16239630007655964</v>
      </c>
      <c r="L225" s="2">
        <f t="shared" si="22"/>
        <v>3.0271211181560048E-3</v>
      </c>
      <c r="M225" s="2">
        <f t="shared" si="25"/>
        <v>0.17153762929641392</v>
      </c>
    </row>
    <row r="226" spans="1:13" ht="15" hidden="1" x14ac:dyDescent="0.25">
      <c r="A226" s="2">
        <f t="shared" si="23"/>
        <v>0.44500000000000028</v>
      </c>
      <c r="B226" s="2">
        <f t="shared" si="13"/>
        <v>773.15</v>
      </c>
      <c r="C226" s="2">
        <f t="shared" si="14"/>
        <v>1.3776728439059158</v>
      </c>
      <c r="D226" s="2">
        <f t="shared" si="15"/>
        <v>-0.17268087812114627</v>
      </c>
      <c r="E226" s="2">
        <f t="shared" si="16"/>
        <v>7.5707704261701675E-2</v>
      </c>
      <c r="F226" s="2">
        <f t="shared" si="17"/>
        <v>0.27800000000000002</v>
      </c>
      <c r="G226" s="2">
        <f t="shared" si="18"/>
        <v>-1.3174992565583498E-4</v>
      </c>
      <c r="H226" s="2">
        <f t="shared" si="19"/>
        <v>0.94670948142778544</v>
      </c>
      <c r="I226" s="2">
        <f t="shared" si="20"/>
        <v>1.5225904666070591</v>
      </c>
      <c r="J226" s="2">
        <f t="shared" si="21"/>
        <v>2.9016626757001384E-3</v>
      </c>
      <c r="K226" s="2">
        <f t="shared" si="24"/>
        <v>0.16529796275225977</v>
      </c>
      <c r="L226" s="2">
        <f t="shared" si="22"/>
        <v>3.0649980090238227E-3</v>
      </c>
      <c r="M226" s="2">
        <f t="shared" si="25"/>
        <v>0.17460262730543774</v>
      </c>
    </row>
    <row r="227" spans="1:13" ht="15" hidden="1" x14ac:dyDescent="0.25">
      <c r="A227" s="2">
        <f t="shared" si="23"/>
        <v>0.45000000000000029</v>
      </c>
      <c r="B227" s="2">
        <f t="shared" si="13"/>
        <v>773.15</v>
      </c>
      <c r="C227" s="2">
        <f t="shared" si="14"/>
        <v>1.3776728439059158</v>
      </c>
      <c r="D227" s="2">
        <f t="shared" si="15"/>
        <v>-0.17268087812114627</v>
      </c>
      <c r="E227" s="2">
        <f t="shared" si="16"/>
        <v>7.5707704261701675E-2</v>
      </c>
      <c r="F227" s="2">
        <f t="shared" si="17"/>
        <v>0.27800000000000002</v>
      </c>
      <c r="G227" s="2">
        <f t="shared" si="18"/>
        <v>-1.3174992565583498E-4</v>
      </c>
      <c r="H227" s="2">
        <f t="shared" si="19"/>
        <v>0.94670948142778544</v>
      </c>
      <c r="I227" s="2">
        <f t="shared" si="20"/>
        <v>1.5225904666070591</v>
      </c>
      <c r="J227" s="2">
        <f t="shared" si="21"/>
        <v>2.9381730585337357E-3</v>
      </c>
      <c r="K227" s="2">
        <f t="shared" si="24"/>
        <v>0.1682361358107935</v>
      </c>
      <c r="L227" s="2">
        <f t="shared" si="22"/>
        <v>3.103563570634692E-3</v>
      </c>
      <c r="M227" s="2">
        <f t="shared" si="25"/>
        <v>0.17770619087607242</v>
      </c>
    </row>
    <row r="228" spans="1:13" ht="15" hidden="1" x14ac:dyDescent="0.25">
      <c r="A228" s="2">
        <f t="shared" si="23"/>
        <v>0.45500000000000029</v>
      </c>
      <c r="B228" s="2">
        <f t="shared" si="13"/>
        <v>773.15</v>
      </c>
      <c r="C228" s="2">
        <f t="shared" si="14"/>
        <v>1.3776728439059158</v>
      </c>
      <c r="D228" s="2">
        <f t="shared" si="15"/>
        <v>-0.17268087812114627</v>
      </c>
      <c r="E228" s="2">
        <f t="shared" si="16"/>
        <v>7.5707704261701675E-2</v>
      </c>
      <c r="F228" s="2">
        <f t="shared" si="17"/>
        <v>0.27800000000000002</v>
      </c>
      <c r="G228" s="2">
        <f t="shared" si="18"/>
        <v>-1.3174992565583498E-4</v>
      </c>
      <c r="H228" s="2">
        <f t="shared" si="19"/>
        <v>0.94670948142778544</v>
      </c>
      <c r="I228" s="2">
        <f t="shared" si="20"/>
        <v>1.5225904666070591</v>
      </c>
      <c r="J228" s="2">
        <f t="shared" si="21"/>
        <v>2.9753533566486828E-3</v>
      </c>
      <c r="K228" s="2">
        <f t="shared" si="24"/>
        <v>0.17121148916744217</v>
      </c>
      <c r="L228" s="2">
        <f t="shared" si="22"/>
        <v>3.1428367572292467E-3</v>
      </c>
      <c r="M228" s="2">
        <f t="shared" si="25"/>
        <v>0.18084902763330166</v>
      </c>
    </row>
    <row r="229" spans="1:13" ht="15" hidden="1" x14ac:dyDescent="0.25">
      <c r="A229" s="2">
        <f t="shared" si="23"/>
        <v>0.4600000000000003</v>
      </c>
      <c r="B229" s="2">
        <f t="shared" si="13"/>
        <v>773.15</v>
      </c>
      <c r="C229" s="2">
        <f t="shared" si="14"/>
        <v>1.3776728439059158</v>
      </c>
      <c r="D229" s="2">
        <f t="shared" si="15"/>
        <v>-0.17268087812114627</v>
      </c>
      <c r="E229" s="2">
        <f t="shared" si="16"/>
        <v>7.5707704261701675E-2</v>
      </c>
      <c r="F229" s="2">
        <f t="shared" si="17"/>
        <v>0.27800000000000002</v>
      </c>
      <c r="G229" s="2">
        <f t="shared" si="18"/>
        <v>-1.3174992565583498E-4</v>
      </c>
      <c r="H229" s="2">
        <f t="shared" si="19"/>
        <v>0.94670948142778544</v>
      </c>
      <c r="I229" s="2">
        <f t="shared" si="20"/>
        <v>1.5225904666070591</v>
      </c>
      <c r="J229" s="2">
        <f t="shared" si="21"/>
        <v>3.0132221788027971E-3</v>
      </c>
      <c r="K229" s="2">
        <f t="shared" si="24"/>
        <v>0.17422471134624495</v>
      </c>
      <c r="L229" s="2">
        <f t="shared" si="22"/>
        <v>3.1828372250570346E-3</v>
      </c>
      <c r="M229" s="2">
        <f t="shared" si="25"/>
        <v>0.18403186485835868</v>
      </c>
    </row>
    <row r="230" spans="1:13" ht="15" hidden="1" x14ac:dyDescent="0.25">
      <c r="A230" s="2">
        <f t="shared" si="23"/>
        <v>0.4650000000000003</v>
      </c>
      <c r="B230" s="2">
        <f t="shared" si="13"/>
        <v>773.15</v>
      </c>
      <c r="C230" s="2">
        <f t="shared" si="14"/>
        <v>1.3776728439059158</v>
      </c>
      <c r="D230" s="2">
        <f t="shared" si="15"/>
        <v>-0.17268087812114627</v>
      </c>
      <c r="E230" s="2">
        <f t="shared" si="16"/>
        <v>7.5707704261701675E-2</v>
      </c>
      <c r="F230" s="2">
        <f t="shared" si="17"/>
        <v>0.27800000000000002</v>
      </c>
      <c r="G230" s="2">
        <f t="shared" si="18"/>
        <v>-1.3174992565583498E-4</v>
      </c>
      <c r="H230" s="2">
        <f t="shared" si="19"/>
        <v>0.94670948142778544</v>
      </c>
      <c r="I230" s="2">
        <f t="shared" si="20"/>
        <v>1.5225904666070591</v>
      </c>
      <c r="J230" s="2">
        <f t="shared" si="21"/>
        <v>3.0517988294083889E-3</v>
      </c>
      <c r="K230" s="2">
        <f t="shared" si="24"/>
        <v>0.17727651017565335</v>
      </c>
      <c r="L230" s="2">
        <f t="shared" si="22"/>
        <v>3.223585365180668E-3</v>
      </c>
      <c r="M230" s="2">
        <f t="shared" si="25"/>
        <v>0.18725545022353934</v>
      </c>
    </row>
    <row r="231" spans="1:13" ht="15" hidden="1" x14ac:dyDescent="0.25">
      <c r="A231" s="2">
        <f t="shared" si="23"/>
        <v>0.47000000000000031</v>
      </c>
      <c r="B231" s="2">
        <f t="shared" si="13"/>
        <v>773.15</v>
      </c>
      <c r="C231" s="2">
        <f t="shared" si="14"/>
        <v>1.3776728439059158</v>
      </c>
      <c r="D231" s="2">
        <f t="shared" si="15"/>
        <v>-0.17268087812114627</v>
      </c>
      <c r="E231" s="2">
        <f t="shared" si="16"/>
        <v>7.5707704261701675E-2</v>
      </c>
      <c r="F231" s="2">
        <f t="shared" si="17"/>
        <v>0.27800000000000002</v>
      </c>
      <c r="G231" s="2">
        <f t="shared" si="18"/>
        <v>-1.3174992565583498E-4</v>
      </c>
      <c r="H231" s="2">
        <f t="shared" si="19"/>
        <v>0.94670948142778544</v>
      </c>
      <c r="I231" s="2">
        <f t="shared" si="20"/>
        <v>1.5225904666070591</v>
      </c>
      <c r="J231" s="2">
        <f t="shared" si="21"/>
        <v>3.0911033413461614E-3</v>
      </c>
      <c r="K231" s="2">
        <f t="shared" si="24"/>
        <v>0.18036761351699951</v>
      </c>
      <c r="L231" s="2">
        <f t="shared" si="22"/>
        <v>3.2651023381368234E-3</v>
      </c>
      <c r="M231" s="2">
        <f t="shared" si="25"/>
        <v>0.19052055256167616</v>
      </c>
    </row>
    <row r="232" spans="1:13" ht="15" hidden="1" x14ac:dyDescent="0.25">
      <c r="A232" s="2">
        <f t="shared" si="23"/>
        <v>0.47500000000000031</v>
      </c>
      <c r="B232" s="2">
        <f t="shared" si="13"/>
        <v>773.15</v>
      </c>
      <c r="C232" s="2">
        <f t="shared" si="14"/>
        <v>1.3776728439059158</v>
      </c>
      <c r="D232" s="2">
        <f t="shared" si="15"/>
        <v>-0.17268087812114627</v>
      </c>
      <c r="E232" s="2">
        <f t="shared" si="16"/>
        <v>7.5707704261701675E-2</v>
      </c>
      <c r="F232" s="2">
        <f t="shared" si="17"/>
        <v>0.27800000000000002</v>
      </c>
      <c r="G232" s="2">
        <f t="shared" si="18"/>
        <v>-1.3174992565583498E-4</v>
      </c>
      <c r="H232" s="2">
        <f t="shared" si="19"/>
        <v>0.94670948142778544</v>
      </c>
      <c r="I232" s="2">
        <f t="shared" si="20"/>
        <v>1.5225904666070591</v>
      </c>
      <c r="J232" s="2">
        <f t="shared" si="21"/>
        <v>3.1311565106541782E-3</v>
      </c>
      <c r="K232" s="2">
        <f t="shared" si="24"/>
        <v>0.18349877002765369</v>
      </c>
      <c r="L232" s="2">
        <f t="shared" si="22"/>
        <v>3.3074101105778574E-3</v>
      </c>
      <c r="M232" s="2">
        <f t="shared" si="25"/>
        <v>0.19382796267225402</v>
      </c>
    </row>
    <row r="233" spans="1:13" ht="15" hidden="1" x14ac:dyDescent="0.25">
      <c r="A233" s="2">
        <f t="shared" si="23"/>
        <v>0.48000000000000032</v>
      </c>
      <c r="B233" s="2">
        <f t="shared" si="13"/>
        <v>773.15</v>
      </c>
      <c r="C233" s="2">
        <f t="shared" si="14"/>
        <v>1.3776728439059158</v>
      </c>
      <c r="D233" s="2">
        <f t="shared" si="15"/>
        <v>-0.17268087812114627</v>
      </c>
      <c r="E233" s="2">
        <f t="shared" si="16"/>
        <v>7.5707704261701675E-2</v>
      </c>
      <c r="F233" s="2">
        <f t="shared" si="17"/>
        <v>0.27800000000000002</v>
      </c>
      <c r="G233" s="2">
        <f t="shared" si="18"/>
        <v>-1.3174992565583498E-4</v>
      </c>
      <c r="H233" s="2">
        <f t="shared" si="19"/>
        <v>0.94670948142778544</v>
      </c>
      <c r="I233" s="2">
        <f t="shared" si="20"/>
        <v>1.5225904666070591</v>
      </c>
      <c r="J233" s="2">
        <f t="shared" si="21"/>
        <v>3.1719799332181184E-3</v>
      </c>
      <c r="K233" s="2">
        <f t="shared" si="24"/>
        <v>0.1866707499608718</v>
      </c>
      <c r="L233" s="2">
        <f t="shared" si="22"/>
        <v>3.350531494027374E-3</v>
      </c>
      <c r="M233" s="2">
        <f t="shared" si="25"/>
        <v>0.19717849416628139</v>
      </c>
    </row>
    <row r="234" spans="1:13" ht="15" hidden="1" x14ac:dyDescent="0.25">
      <c r="A234" s="2">
        <f t="shared" si="23"/>
        <v>0.48500000000000032</v>
      </c>
      <c r="B234" s="2">
        <f t="shared" si="13"/>
        <v>773.15</v>
      </c>
      <c r="C234" s="2">
        <f t="shared" si="14"/>
        <v>1.3776728439059158</v>
      </c>
      <c r="D234" s="2">
        <f t="shared" si="15"/>
        <v>-0.17268087812114627</v>
      </c>
      <c r="E234" s="2">
        <f t="shared" si="16"/>
        <v>7.5707704261701675E-2</v>
      </c>
      <c r="F234" s="2">
        <f t="shared" si="17"/>
        <v>0.27800000000000002</v>
      </c>
      <c r="G234" s="2">
        <f t="shared" si="18"/>
        <v>-1.3174992565583498E-4</v>
      </c>
      <c r="H234" s="2">
        <f t="shared" si="19"/>
        <v>0.94670948142778544</v>
      </c>
      <c r="I234" s="2">
        <f t="shared" si="20"/>
        <v>1.5225904666070591</v>
      </c>
      <c r="J234" s="2">
        <f t="shared" si="21"/>
        <v>3.2135960435988333E-3</v>
      </c>
      <c r="K234" s="2">
        <f t="shared" si="24"/>
        <v>0.18988434600447063</v>
      </c>
      <c r="L234" s="2">
        <f t="shared" si="22"/>
        <v>3.3944901858933845E-3</v>
      </c>
      <c r="M234" s="2">
        <f t="shared" si="25"/>
        <v>0.20057298435217477</v>
      </c>
    </row>
    <row r="235" spans="1:13" ht="15" hidden="1" x14ac:dyDescent="0.25">
      <c r="A235" s="2">
        <f t="shared" si="23"/>
        <v>0.49000000000000032</v>
      </c>
      <c r="B235" s="2">
        <f t="shared" si="13"/>
        <v>773.15</v>
      </c>
      <c r="C235" s="2">
        <f t="shared" si="14"/>
        <v>1.3776728439059158</v>
      </c>
      <c r="D235" s="2">
        <f t="shared" si="15"/>
        <v>-0.17268087812114627</v>
      </c>
      <c r="E235" s="2">
        <f t="shared" si="16"/>
        <v>7.5707704261701675E-2</v>
      </c>
      <c r="F235" s="2">
        <f t="shared" si="17"/>
        <v>0.27800000000000002</v>
      </c>
      <c r="G235" s="2">
        <f t="shared" si="18"/>
        <v>-1.3174992565583498E-4</v>
      </c>
      <c r="H235" s="2">
        <f t="shared" si="19"/>
        <v>0.94670948142778544</v>
      </c>
      <c r="I235" s="2">
        <f t="shared" si="20"/>
        <v>1.5225904666070591</v>
      </c>
      <c r="J235" s="2">
        <f t="shared" si="21"/>
        <v>3.2560281561438767E-3</v>
      </c>
      <c r="K235" s="2">
        <f t="shared" si="24"/>
        <v>0.1931403741606145</v>
      </c>
      <c r="L235" s="2">
        <f t="shared" si="22"/>
        <v>3.439310812894023E-3</v>
      </c>
      <c r="M235" s="2">
        <f t="shared" si="25"/>
        <v>0.2040122951650688</v>
      </c>
    </row>
    <row r="236" spans="1:13" ht="15" hidden="1" x14ac:dyDescent="0.25">
      <c r="A236" s="2">
        <f t="shared" si="23"/>
        <v>0.49500000000000033</v>
      </c>
      <c r="B236" s="2">
        <f t="shared" si="13"/>
        <v>773.15</v>
      </c>
      <c r="C236" s="2">
        <f t="shared" si="14"/>
        <v>1.3776728439059158</v>
      </c>
      <c r="D236" s="2">
        <f t="shared" si="15"/>
        <v>-0.17268087812114627</v>
      </c>
      <c r="E236" s="2">
        <f t="shared" si="16"/>
        <v>7.5707704261701675E-2</v>
      </c>
      <c r="F236" s="2">
        <f t="shared" si="17"/>
        <v>0.27800000000000002</v>
      </c>
      <c r="G236" s="2">
        <f t="shared" si="18"/>
        <v>-1.3174992565583498E-4</v>
      </c>
      <c r="H236" s="2">
        <f t="shared" si="19"/>
        <v>0.94670948142778544</v>
      </c>
      <c r="I236" s="2">
        <f t="shared" si="20"/>
        <v>1.5225904666070591</v>
      </c>
      <c r="J236" s="2">
        <f t="shared" si="21"/>
        <v>3.2993005085412965E-3</v>
      </c>
      <c r="K236" s="2">
        <f t="shared" si="24"/>
        <v>0.19643967466915579</v>
      </c>
      <c r="L236" s="2">
        <f t="shared" si="22"/>
        <v>3.485018977062992E-3</v>
      </c>
      <c r="M236" s="2">
        <f t="shared" si="25"/>
        <v>0.20749731414213179</v>
      </c>
    </row>
    <row r="237" spans="1:13" ht="15" hidden="1" x14ac:dyDescent="0.25">
      <c r="A237" s="2">
        <f t="shared" si="23"/>
        <v>0.50000000000000033</v>
      </c>
      <c r="B237" s="2">
        <f t="shared" si="13"/>
        <v>773.15</v>
      </c>
      <c r="C237" s="2">
        <f t="shared" si="14"/>
        <v>1.3776728439059158</v>
      </c>
      <c r="D237" s="2">
        <f t="shared" si="15"/>
        <v>-0.17268087812114627</v>
      </c>
      <c r="E237" s="2">
        <f t="shared" si="16"/>
        <v>7.5707704261701675E-2</v>
      </c>
      <c r="F237" s="2">
        <f t="shared" si="17"/>
        <v>0.27800000000000002</v>
      </c>
      <c r="G237" s="2">
        <f t="shared" si="18"/>
        <v>-1.3174992565583498E-4</v>
      </c>
      <c r="H237" s="2">
        <f t="shared" si="19"/>
        <v>0.94670948142778544</v>
      </c>
      <c r="I237" s="2">
        <f t="shared" si="20"/>
        <v>1.5225904666070591</v>
      </c>
      <c r="J237" s="2">
        <f t="shared" si="21"/>
        <v>3.3434383079866655E-3</v>
      </c>
      <c r="K237" s="2">
        <f t="shared" si="24"/>
        <v>0.19978311297714246</v>
      </c>
      <c r="L237" s="2">
        <f t="shared" si="22"/>
        <v>3.5316413045153408E-3</v>
      </c>
      <c r="M237" s="2">
        <f t="shared" si="25"/>
        <v>0.21102895544664713</v>
      </c>
    </row>
    <row r="238" spans="1:13" ht="15" hidden="1" x14ac:dyDescent="0.25">
      <c r="A238" s="2">
        <f t="shared" si="23"/>
        <v>0.50500000000000034</v>
      </c>
      <c r="B238" s="2">
        <f t="shared" si="13"/>
        <v>773.15</v>
      </c>
      <c r="C238" s="2">
        <f t="shared" si="14"/>
        <v>1.3776728439059158</v>
      </c>
      <c r="D238" s="2">
        <f t="shared" si="15"/>
        <v>-0.17268087812114627</v>
      </c>
      <c r="E238" s="2">
        <f t="shared" si="16"/>
        <v>7.5707704261701675E-2</v>
      </c>
      <c r="F238" s="2">
        <f t="shared" si="17"/>
        <v>0.27800000000000002</v>
      </c>
      <c r="G238" s="2">
        <f t="shared" si="18"/>
        <v>-1.3174992565583498E-4</v>
      </c>
      <c r="H238" s="2">
        <f t="shared" si="19"/>
        <v>0.94670948142778544</v>
      </c>
      <c r="I238" s="2">
        <f t="shared" si="20"/>
        <v>1.5225904666070591</v>
      </c>
      <c r="J238" s="2">
        <f t="shared" si="21"/>
        <v>3.3884677801481024E-3</v>
      </c>
      <c r="K238" s="2">
        <f t="shared" si="24"/>
        <v>0.20317158075729055</v>
      </c>
      <c r="L238" s="2">
        <f t="shared" si="22"/>
        <v>3.5792054971687456E-3</v>
      </c>
      <c r="M238" s="2">
        <f t="shared" si="25"/>
        <v>0.21460816094381588</v>
      </c>
    </row>
    <row r="239" spans="1:13" ht="15" hidden="1" x14ac:dyDescent="0.25">
      <c r="A239" s="2">
        <f t="shared" si="23"/>
        <v>0.51000000000000034</v>
      </c>
      <c r="B239" s="2">
        <f t="shared" si="13"/>
        <v>773.15</v>
      </c>
      <c r="C239" s="2">
        <f t="shared" si="14"/>
        <v>1.3776728439059158</v>
      </c>
      <c r="D239" s="2">
        <f t="shared" si="15"/>
        <v>-0.17268087812114627</v>
      </c>
      <c r="E239" s="2">
        <f t="shared" si="16"/>
        <v>7.5707704261701675E-2</v>
      </c>
      <c r="F239" s="2">
        <f t="shared" si="17"/>
        <v>0.27800000000000002</v>
      </c>
      <c r="G239" s="2">
        <f t="shared" si="18"/>
        <v>-1.3174992565583498E-4</v>
      </c>
      <c r="H239" s="2">
        <f t="shared" si="19"/>
        <v>0.94670948142778544</v>
      </c>
      <c r="I239" s="2">
        <f t="shared" si="20"/>
        <v>1.5225904666070591</v>
      </c>
      <c r="J239" s="2">
        <f t="shared" si="21"/>
        <v>3.4344162211291597E-3</v>
      </c>
      <c r="K239" s="2">
        <f t="shared" si="24"/>
        <v>0.20660599697841972</v>
      </c>
      <c r="L239" s="2">
        <f t="shared" si="22"/>
        <v>3.6277403876314035E-3</v>
      </c>
      <c r="M239" s="2">
        <f t="shared" si="25"/>
        <v>0.21823590133144727</v>
      </c>
    </row>
    <row r="240" spans="1:13" ht="15" hidden="1" x14ac:dyDescent="0.25">
      <c r="A240" s="2">
        <f t="shared" si="23"/>
        <v>0.51500000000000035</v>
      </c>
      <c r="B240" s="2">
        <f t="shared" si="13"/>
        <v>773.15</v>
      </c>
      <c r="C240" s="2">
        <f t="shared" si="14"/>
        <v>1.3776728439059158</v>
      </c>
      <c r="D240" s="2">
        <f t="shared" si="15"/>
        <v>-0.17268087812114627</v>
      </c>
      <c r="E240" s="2">
        <f t="shared" si="16"/>
        <v>7.5707704261701675E-2</v>
      </c>
      <c r="F240" s="2">
        <f t="shared" si="17"/>
        <v>0.27800000000000002</v>
      </c>
      <c r="G240" s="2">
        <f t="shared" si="18"/>
        <v>-1.3174992565583498E-4</v>
      </c>
      <c r="H240" s="2">
        <f t="shared" si="19"/>
        <v>0.94670948142778544</v>
      </c>
      <c r="I240" s="2">
        <f t="shared" si="20"/>
        <v>1.5225904666070591</v>
      </c>
      <c r="J240" s="2">
        <f t="shared" si="21"/>
        <v>3.4813120526459092E-3</v>
      </c>
      <c r="K240" s="2">
        <f t="shared" si="24"/>
        <v>0.21008730903106562</v>
      </c>
      <c r="L240" s="2">
        <f t="shared" si="22"/>
        <v>3.6772759974850445E-3</v>
      </c>
      <c r="M240" s="2">
        <f t="shared" si="25"/>
        <v>0.22191317732893232</v>
      </c>
    </row>
    <row r="241" spans="1:13" ht="15" hidden="1" x14ac:dyDescent="0.25">
      <c r="A241" s="2">
        <f t="shared" si="23"/>
        <v>0.52000000000000035</v>
      </c>
      <c r="B241" s="2">
        <f t="shared" si="13"/>
        <v>773.15</v>
      </c>
      <c r="C241" s="2">
        <f t="shared" si="14"/>
        <v>1.3776728439059158</v>
      </c>
      <c r="D241" s="2">
        <f t="shared" si="15"/>
        <v>-0.17268087812114627</v>
      </c>
      <c r="E241" s="2">
        <f t="shared" si="16"/>
        <v>7.5707704261701675E-2</v>
      </c>
      <c r="F241" s="2">
        <f t="shared" si="17"/>
        <v>0.27800000000000002</v>
      </c>
      <c r="G241" s="2">
        <f t="shared" si="18"/>
        <v>-1.3174992565583498E-4</v>
      </c>
      <c r="H241" s="2">
        <f t="shared" si="19"/>
        <v>0.94670948142778544</v>
      </c>
      <c r="I241" s="2">
        <f t="shared" si="20"/>
        <v>1.5225904666070591</v>
      </c>
      <c r="J241" s="2">
        <f t="shared" si="21"/>
        <v>3.5291848806525915E-3</v>
      </c>
      <c r="K241" s="2">
        <f t="shared" si="24"/>
        <v>0.21361649391171822</v>
      </c>
      <c r="L241" s="2">
        <f t="shared" si="22"/>
        <v>3.7278435992106371E-3</v>
      </c>
      <c r="M241" s="2">
        <f t="shared" si="25"/>
        <v>0.22564102092814295</v>
      </c>
    </row>
    <row r="242" spans="1:13" ht="15" hidden="1" x14ac:dyDescent="0.25">
      <c r="A242" s="2">
        <f t="shared" si="23"/>
        <v>0.52500000000000036</v>
      </c>
      <c r="B242" s="2">
        <f t="shared" si="13"/>
        <v>773.15</v>
      </c>
      <c r="C242" s="2">
        <f t="shared" si="14"/>
        <v>1.3776728439059158</v>
      </c>
      <c r="D242" s="2">
        <f t="shared" si="15"/>
        <v>-0.17268087812114627</v>
      </c>
      <c r="E242" s="2">
        <f t="shared" si="16"/>
        <v>7.5707704261701675E-2</v>
      </c>
      <c r="F242" s="2">
        <f t="shared" si="17"/>
        <v>0.27800000000000002</v>
      </c>
      <c r="G242" s="2">
        <f t="shared" si="18"/>
        <v>-1.3174992565583498E-4</v>
      </c>
      <c r="H242" s="2">
        <f t="shared" si="19"/>
        <v>0.94670948142778544</v>
      </c>
      <c r="I242" s="2">
        <f t="shared" si="20"/>
        <v>1.5225904666070591</v>
      </c>
      <c r="J242" s="2">
        <f t="shared" si="21"/>
        <v>3.5780655576699398E-3</v>
      </c>
      <c r="K242" s="2">
        <f t="shared" si="24"/>
        <v>0.21719455946938815</v>
      </c>
      <c r="L242" s="2">
        <f t="shared" si="22"/>
        <v>3.7794757820251886E-3</v>
      </c>
      <c r="M242" s="2">
        <f t="shared" si="25"/>
        <v>0.22942049671016815</v>
      </c>
    </row>
    <row r="243" spans="1:13" ht="15" hidden="1" x14ac:dyDescent="0.25">
      <c r="A243" s="2">
        <f t="shared" si="23"/>
        <v>0.53000000000000036</v>
      </c>
      <c r="B243" s="2">
        <f t="shared" si="13"/>
        <v>773.15</v>
      </c>
      <c r="C243" s="2">
        <f t="shared" si="14"/>
        <v>1.3776728439059158</v>
      </c>
      <c r="D243" s="2">
        <f t="shared" si="15"/>
        <v>-0.17268087812114627</v>
      </c>
      <c r="E243" s="2">
        <f t="shared" si="16"/>
        <v>7.5707704261701675E-2</v>
      </c>
      <c r="F243" s="2">
        <f t="shared" si="17"/>
        <v>0.27800000000000002</v>
      </c>
      <c r="G243" s="2">
        <f t="shared" si="18"/>
        <v>-1.3174992565583498E-4</v>
      </c>
      <c r="H243" s="2">
        <f t="shared" si="19"/>
        <v>0.94670948142778544</v>
      </c>
      <c r="I243" s="2">
        <f t="shared" si="20"/>
        <v>1.5225904666070591</v>
      </c>
      <c r="J243" s="2">
        <f t="shared" si="21"/>
        <v>3.6279862490919135E-3</v>
      </c>
      <c r="K243" s="2">
        <f t="shared" si="24"/>
        <v>0.22082254571848006</v>
      </c>
      <c r="L243" s="2">
        <f t="shared" si="22"/>
        <v>3.8322065219209005E-3</v>
      </c>
      <c r="M243" s="2">
        <f t="shared" si="25"/>
        <v>0.23325270323208905</v>
      </c>
    </row>
    <row r="244" spans="1:13" ht="15" hidden="1" x14ac:dyDescent="0.25">
      <c r="A244" s="2">
        <f t="shared" si="23"/>
        <v>0.53500000000000036</v>
      </c>
      <c r="B244" s="2">
        <f t="shared" si="13"/>
        <v>773.15</v>
      </c>
      <c r="C244" s="2">
        <f t="shared" si="14"/>
        <v>1.3776728439059158</v>
      </c>
      <c r="D244" s="2">
        <f t="shared" si="15"/>
        <v>-0.17268087812114627</v>
      </c>
      <c r="E244" s="2">
        <f t="shared" si="16"/>
        <v>7.5707704261701675E-2</v>
      </c>
      <c r="F244" s="2">
        <f t="shared" si="17"/>
        <v>0.27800000000000002</v>
      </c>
      <c r="G244" s="2">
        <f t="shared" si="18"/>
        <v>-1.3174992565583498E-4</v>
      </c>
      <c r="H244" s="2">
        <f t="shared" si="19"/>
        <v>0.94670948142778544</v>
      </c>
      <c r="I244" s="2">
        <f t="shared" si="20"/>
        <v>1.5225904666070591</v>
      </c>
      <c r="J244" s="2">
        <f t="shared" si="21"/>
        <v>3.6789805037702739E-3</v>
      </c>
      <c r="K244" s="2">
        <f t="shared" si="24"/>
        <v>0.22450152622225034</v>
      </c>
      <c r="L244" s="2">
        <f t="shared" si="22"/>
        <v>3.8860712562229735E-3</v>
      </c>
      <c r="M244" s="2">
        <f t="shared" si="25"/>
        <v>0.23713877448831203</v>
      </c>
    </row>
    <row r="245" spans="1:13" ht="15" hidden="1" x14ac:dyDescent="0.25">
      <c r="A245" s="2">
        <f t="shared" si="23"/>
        <v>0.54000000000000037</v>
      </c>
      <c r="B245" s="2">
        <f t="shared" si="13"/>
        <v>773.15</v>
      </c>
      <c r="C245" s="2">
        <f t="shared" si="14"/>
        <v>1.3776728439059158</v>
      </c>
      <c r="D245" s="2">
        <f t="shared" si="15"/>
        <v>-0.17268087812114627</v>
      </c>
      <c r="E245" s="2">
        <f t="shared" si="16"/>
        <v>7.5707704261701675E-2</v>
      </c>
      <c r="F245" s="2">
        <f t="shared" si="17"/>
        <v>0.27800000000000002</v>
      </c>
      <c r="G245" s="2">
        <f t="shared" si="18"/>
        <v>-1.3174992565583498E-4</v>
      </c>
      <c r="H245" s="2">
        <f t="shared" si="19"/>
        <v>0.94670948142778544</v>
      </c>
      <c r="I245" s="2">
        <f t="shared" si="20"/>
        <v>1.5225904666070591</v>
      </c>
      <c r="J245" s="2">
        <f t="shared" si="21"/>
        <v>3.7310833292025117E-3</v>
      </c>
      <c r="K245" s="2">
        <f t="shared" si="24"/>
        <v>0.22823260955145286</v>
      </c>
      <c r="L245" s="2">
        <f t="shared" si="22"/>
        <v>3.941106963009873E-3</v>
      </c>
      <c r="M245" s="2">
        <f t="shared" si="25"/>
        <v>0.24107988145132189</v>
      </c>
    </row>
    <row r="246" spans="1:13" ht="15" hidden="1" x14ac:dyDescent="0.25">
      <c r="A246" s="2">
        <f t="shared" si="23"/>
        <v>0.54500000000000037</v>
      </c>
      <c r="B246" s="2">
        <f t="shared" si="13"/>
        <v>773.15</v>
      </c>
      <c r="C246" s="2">
        <f t="shared" si="14"/>
        <v>1.3776728439059158</v>
      </c>
      <c r="D246" s="2">
        <f t="shared" si="15"/>
        <v>-0.17268087812114627</v>
      </c>
      <c r="E246" s="2">
        <f t="shared" si="16"/>
        <v>7.5707704261701675E-2</v>
      </c>
      <c r="F246" s="2">
        <f t="shared" si="17"/>
        <v>0.27800000000000002</v>
      </c>
      <c r="G246" s="2">
        <f t="shared" si="18"/>
        <v>-1.3174992565583498E-4</v>
      </c>
      <c r="H246" s="2">
        <f t="shared" si="19"/>
        <v>0.94670948142778544</v>
      </c>
      <c r="I246" s="2">
        <f t="shared" si="20"/>
        <v>1.5225904666070591</v>
      </c>
      <c r="J246" s="2">
        <f t="shared" si="21"/>
        <v>3.7843312716772147E-3</v>
      </c>
      <c r="K246" s="2">
        <f t="shared" si="24"/>
        <v>0.23201694082313007</v>
      </c>
      <c r="L246" s="2">
        <f t="shared" si="22"/>
        <v>3.9973522457701109E-3</v>
      </c>
      <c r="M246" s="2">
        <f t="shared" si="25"/>
        <v>0.245077233697092</v>
      </c>
    </row>
    <row r="247" spans="1:13" ht="15" hidden="1" x14ac:dyDescent="0.25">
      <c r="A247" s="2">
        <f t="shared" si="23"/>
        <v>0.55000000000000038</v>
      </c>
      <c r="B247" s="2">
        <f t="shared" si="13"/>
        <v>773.15</v>
      </c>
      <c r="C247" s="2">
        <f t="shared" si="14"/>
        <v>1.3776728439059158</v>
      </c>
      <c r="D247" s="2">
        <f t="shared" si="15"/>
        <v>-0.17268087812114627</v>
      </c>
      <c r="E247" s="2">
        <f t="shared" si="16"/>
        <v>7.5707704261701675E-2</v>
      </c>
      <c r="F247" s="2">
        <f t="shared" si="17"/>
        <v>0.27800000000000002</v>
      </c>
      <c r="G247" s="2">
        <f t="shared" si="18"/>
        <v>-1.3174992565583498E-4</v>
      </c>
      <c r="H247" s="2">
        <f t="shared" si="19"/>
        <v>0.94670948142778544</v>
      </c>
      <c r="I247" s="2">
        <f t="shared" si="20"/>
        <v>1.5225904666070591</v>
      </c>
      <c r="J247" s="2">
        <f t="shared" si="21"/>
        <v>3.8387625017624678E-3</v>
      </c>
      <c r="K247" s="2">
        <f t="shared" si="24"/>
        <v>0.23585570332489253</v>
      </c>
      <c r="L247" s="2">
        <f t="shared" si="22"/>
        <v>4.054847423702798E-3</v>
      </c>
      <c r="M247" s="2">
        <f t="shared" si="25"/>
        <v>0.2491320811207948</v>
      </c>
    </row>
    <row r="248" spans="1:13" ht="15" hidden="1" x14ac:dyDescent="0.25">
      <c r="A248" s="2">
        <f t="shared" si="23"/>
        <v>0.55500000000000038</v>
      </c>
      <c r="B248" s="2">
        <f t="shared" si="13"/>
        <v>773.15</v>
      </c>
      <c r="C248" s="2">
        <f t="shared" si="14"/>
        <v>1.3776728439059158</v>
      </c>
      <c r="D248" s="2">
        <f t="shared" si="15"/>
        <v>-0.17268087812114627</v>
      </c>
      <c r="E248" s="2">
        <f t="shared" si="16"/>
        <v>7.5707704261701675E-2</v>
      </c>
      <c r="F248" s="2">
        <f t="shared" si="17"/>
        <v>0.27800000000000002</v>
      </c>
      <c r="G248" s="2">
        <f t="shared" si="18"/>
        <v>-1.3174992565583498E-4</v>
      </c>
      <c r="H248" s="2">
        <f t="shared" si="19"/>
        <v>0.94670948142778544</v>
      </c>
      <c r="I248" s="2">
        <f t="shared" si="20"/>
        <v>1.5225904666070591</v>
      </c>
      <c r="J248" s="2">
        <f t="shared" si="21"/>
        <v>3.8944169055575018E-3</v>
      </c>
      <c r="K248" s="2">
        <f t="shared" si="24"/>
        <v>0.23975012023045003</v>
      </c>
      <c r="L248" s="2">
        <f t="shared" si="22"/>
        <v>4.113634628105883E-3</v>
      </c>
      <c r="M248" s="2">
        <f t="shared" si="25"/>
        <v>0.2532457157489007</v>
      </c>
    </row>
    <row r="249" spans="1:13" ht="15" hidden="1" x14ac:dyDescent="0.25">
      <c r="A249" s="2">
        <f t="shared" si="23"/>
        <v>0.56000000000000039</v>
      </c>
      <c r="B249" s="2">
        <f t="shared" si="13"/>
        <v>773.15</v>
      </c>
      <c r="C249" s="2">
        <f t="shared" si="14"/>
        <v>1.3776728439059158</v>
      </c>
      <c r="D249" s="2">
        <f t="shared" si="15"/>
        <v>-0.17268087812114627</v>
      </c>
      <c r="E249" s="2">
        <f t="shared" si="16"/>
        <v>7.5707704261701675E-2</v>
      </c>
      <c r="F249" s="2">
        <f t="shared" si="17"/>
        <v>0.27800000000000002</v>
      </c>
      <c r="G249" s="2">
        <f t="shared" si="18"/>
        <v>-1.3174992565583498E-4</v>
      </c>
      <c r="H249" s="2">
        <f t="shared" si="19"/>
        <v>0.94670948142778544</v>
      </c>
      <c r="I249" s="2">
        <f t="shared" si="20"/>
        <v>1.5225904666070591</v>
      </c>
      <c r="J249" s="2">
        <f t="shared" si="21"/>
        <v>3.9513361821660606E-3</v>
      </c>
      <c r="K249" s="2">
        <f t="shared" si="24"/>
        <v>0.24370145641261609</v>
      </c>
      <c r="L249" s="2">
        <f t="shared" si="22"/>
        <v>4.1737579053363122E-3</v>
      </c>
      <c r="M249" s="2">
        <f t="shared" si="25"/>
        <v>0.25741947365423701</v>
      </c>
    </row>
    <row r="250" spans="1:13" ht="15" hidden="1" x14ac:dyDescent="0.25">
      <c r="A250" s="2">
        <f t="shared" si="23"/>
        <v>0.56500000000000039</v>
      </c>
      <c r="B250" s="2">
        <f t="shared" si="13"/>
        <v>773.15</v>
      </c>
      <c r="C250" s="2">
        <f t="shared" si="14"/>
        <v>1.3776728439059158</v>
      </c>
      <c r="D250" s="2">
        <f t="shared" si="15"/>
        <v>-0.17268087812114627</v>
      </c>
      <c r="E250" s="2">
        <f t="shared" si="16"/>
        <v>7.5707704261701675E-2</v>
      </c>
      <c r="F250" s="2">
        <f t="shared" si="17"/>
        <v>0.27800000000000002</v>
      </c>
      <c r="G250" s="2">
        <f t="shared" si="18"/>
        <v>-1.3174992565583498E-4</v>
      </c>
      <c r="H250" s="2">
        <f t="shared" si="19"/>
        <v>0.94670948142778544</v>
      </c>
      <c r="I250" s="2">
        <f t="shared" si="20"/>
        <v>1.5225904666070591</v>
      </c>
      <c r="J250" s="2">
        <f t="shared" si="21"/>
        <v>4.0095639478920555E-3</v>
      </c>
      <c r="K250" s="2">
        <f t="shared" si="24"/>
        <v>0.24771102036050816</v>
      </c>
      <c r="L250" s="2">
        <f t="shared" si="22"/>
        <v>4.2352633268708875E-3</v>
      </c>
      <c r="M250" s="2">
        <f t="shared" si="25"/>
        <v>0.26165473698110792</v>
      </c>
    </row>
    <row r="251" spans="1:13" ht="15" hidden="1" x14ac:dyDescent="0.25">
      <c r="A251" s="2">
        <f t="shared" si="23"/>
        <v>0.5700000000000004</v>
      </c>
      <c r="B251" s="2">
        <f t="shared" si="13"/>
        <v>773.15</v>
      </c>
      <c r="C251" s="2">
        <f t="shared" si="14"/>
        <v>1.3776728439059158</v>
      </c>
      <c r="D251" s="2">
        <f t="shared" si="15"/>
        <v>-0.17268087812114627</v>
      </c>
      <c r="E251" s="2">
        <f t="shared" si="16"/>
        <v>7.5707704261701675E-2</v>
      </c>
      <c r="F251" s="2">
        <f t="shared" si="17"/>
        <v>0.27800000000000002</v>
      </c>
      <c r="G251" s="2">
        <f t="shared" si="18"/>
        <v>-1.3174992565583498E-4</v>
      </c>
      <c r="H251" s="2">
        <f t="shared" si="19"/>
        <v>0.94670948142778544</v>
      </c>
      <c r="I251" s="2">
        <f t="shared" si="20"/>
        <v>1.5225904666070591</v>
      </c>
      <c r="J251" s="2">
        <f t="shared" si="21"/>
        <v>4.0691458477047013E-3</v>
      </c>
      <c r="K251" s="2">
        <f t="shared" si="24"/>
        <v>0.25178016620821286</v>
      </c>
      <c r="L251" s="2">
        <f t="shared" si="22"/>
        <v>4.2981991070458019E-3</v>
      </c>
      <c r="M251" s="2">
        <f t="shared" si="25"/>
        <v>0.26595293608815374</v>
      </c>
    </row>
    <row r="252" spans="1:13" ht="15" x14ac:dyDescent="0.25">
      <c r="A252" s="2">
        <f t="shared" si="23"/>
        <v>0.5750000000000004</v>
      </c>
      <c r="B252" s="2">
        <f t="shared" si="13"/>
        <v>773.15</v>
      </c>
      <c r="C252" s="2">
        <f t="shared" si="14"/>
        <v>1.3776728439059158</v>
      </c>
      <c r="D252" s="2">
        <f t="shared" si="15"/>
        <v>-0.17268087812114627</v>
      </c>
      <c r="E252" s="2">
        <f t="shared" si="16"/>
        <v>7.5707704261701675E-2</v>
      </c>
      <c r="F252" s="2">
        <f t="shared" si="17"/>
        <v>0.27800000000000002</v>
      </c>
      <c r="G252" s="2">
        <f t="shared" si="18"/>
        <v>-1.3174992565583498E-4</v>
      </c>
      <c r="H252" s="2">
        <f t="shared" si="19"/>
        <v>0.94670948142778544</v>
      </c>
      <c r="I252" s="2">
        <f t="shared" si="20"/>
        <v>1.5225904666070591</v>
      </c>
      <c r="J252" s="2">
        <f t="shared" si="21"/>
        <v>4.1301296745717636E-3</v>
      </c>
      <c r="K252" s="2">
        <f t="shared" si="24"/>
        <v>0.25591029588278463</v>
      </c>
      <c r="L252" s="2">
        <f t="shared" si="22"/>
        <v>4.3626157291071863E-3</v>
      </c>
      <c r="M252" s="2">
        <f t="shared" si="25"/>
        <v>0.27031555181726091</v>
      </c>
    </row>
    <row r="253" spans="1:13" ht="15" x14ac:dyDescent="0.25">
      <c r="A253" s="2">
        <f t="shared" si="23"/>
        <v>0.5800000000000004</v>
      </c>
      <c r="B253" s="2">
        <f t="shared" si="13"/>
        <v>773.15</v>
      </c>
      <c r="C253" s="2">
        <f t="shared" si="14"/>
        <v>1.3776728439059158</v>
      </c>
      <c r="D253" s="2">
        <f t="shared" si="15"/>
        <v>-0.17268087812114627</v>
      </c>
      <c r="E253" s="2">
        <f t="shared" si="16"/>
        <v>7.5707704261701675E-2</v>
      </c>
      <c r="F253" s="2">
        <f t="shared" si="17"/>
        <v>0.27800000000000002</v>
      </c>
      <c r="G253" s="2">
        <f t="shared" si="18"/>
        <v>-1.3174992565583498E-4</v>
      </c>
      <c r="H253" s="2">
        <f t="shared" si="19"/>
        <v>0.94670948142778544</v>
      </c>
      <c r="I253" s="2">
        <f t="shared" si="20"/>
        <v>1.5225904666070591</v>
      </c>
      <c r="J253" s="2">
        <f t="shared" si="21"/>
        <v>4.1925654973166138E-3</v>
      </c>
      <c r="K253" s="2">
        <f t="shared" si="24"/>
        <v>0.26010286138010125</v>
      </c>
      <c r="L253" s="2">
        <f t="shared" si="22"/>
        <v>4.4285660802652685E-3</v>
      </c>
      <c r="M253" s="2">
        <f t="shared" si="25"/>
        <v>0.27474411789752617</v>
      </c>
    </row>
    <row r="254" spans="1:13" ht="15" x14ac:dyDescent="0.25">
      <c r="A254" s="2">
        <f t="shared" si="23"/>
        <v>0.58500000000000041</v>
      </c>
      <c r="B254" s="2">
        <f t="shared" si="13"/>
        <v>773.15</v>
      </c>
      <c r="C254" s="2">
        <f t="shared" si="14"/>
        <v>1.3776728439059158</v>
      </c>
      <c r="D254" s="2">
        <f t="shared" si="15"/>
        <v>-0.17268087812114627</v>
      </c>
      <c r="E254" s="2">
        <f t="shared" si="16"/>
        <v>7.5707704261701675E-2</v>
      </c>
      <c r="F254" s="2">
        <f t="shared" si="17"/>
        <v>0.27800000000000002</v>
      </c>
      <c r="G254" s="2">
        <f t="shared" si="18"/>
        <v>-1.3174992565583498E-4</v>
      </c>
      <c r="H254" s="2">
        <f t="shared" si="19"/>
        <v>0.94670948142778544</v>
      </c>
      <c r="I254" s="2">
        <f t="shared" si="20"/>
        <v>1.5225904666070591</v>
      </c>
      <c r="J254" s="2">
        <f t="shared" si="21"/>
        <v>4.2565057977179644E-3</v>
      </c>
      <c r="K254" s="2">
        <f t="shared" si="24"/>
        <v>0.26435936717781922</v>
      </c>
      <c r="L254" s="2">
        <f t="shared" si="22"/>
        <v>4.4961055965114984E-3</v>
      </c>
      <c r="M254" s="2">
        <f t="shared" si="25"/>
        <v>0.27924022349403765</v>
      </c>
    </row>
    <row r="255" spans="1:13" ht="15" x14ac:dyDescent="0.25">
      <c r="A255" s="2">
        <f t="shared" si="23"/>
        <v>0.59000000000000041</v>
      </c>
      <c r="B255" s="2">
        <f t="shared" si="13"/>
        <v>773.15</v>
      </c>
      <c r="C255" s="2">
        <f t="shared" si="14"/>
        <v>1.3776728439059158</v>
      </c>
      <c r="D255" s="2">
        <f t="shared" si="15"/>
        <v>-0.17268087812114627</v>
      </c>
      <c r="E255" s="2">
        <f t="shared" si="16"/>
        <v>7.5707704261701675E-2</v>
      </c>
      <c r="F255" s="2">
        <f t="shared" si="17"/>
        <v>0.27800000000000002</v>
      </c>
      <c r="G255" s="2">
        <f t="shared" si="18"/>
        <v>-1.3174992565583498E-4</v>
      </c>
      <c r="H255" s="2">
        <f t="shared" si="19"/>
        <v>0.94670948142778544</v>
      </c>
      <c r="I255" s="2">
        <f t="shared" si="20"/>
        <v>1.5225904666070591</v>
      </c>
      <c r="J255" s="2">
        <f t="shared" si="21"/>
        <v>4.3220056176413004E-3</v>
      </c>
      <c r="K255" s="2">
        <f t="shared" si="24"/>
        <v>0.2686813727954605</v>
      </c>
      <c r="L255" s="2">
        <f t="shared" si="22"/>
        <v>4.565292418032026E-3</v>
      </c>
      <c r="M255" s="2">
        <f t="shared" si="25"/>
        <v>0.28380551591206971</v>
      </c>
    </row>
    <row r="256" spans="1:13" ht="15" x14ac:dyDescent="0.25">
      <c r="A256" s="2">
        <f t="shared" si="23"/>
        <v>0.59500000000000042</v>
      </c>
      <c r="B256" s="2">
        <f t="shared" si="13"/>
        <v>773.15</v>
      </c>
      <c r="C256" s="2">
        <f t="shared" si="14"/>
        <v>1.3776728439059158</v>
      </c>
      <c r="D256" s="2">
        <f t="shared" si="15"/>
        <v>-0.17268087812114627</v>
      </c>
      <c r="E256" s="2">
        <f t="shared" si="16"/>
        <v>7.5707704261701675E-2</v>
      </c>
      <c r="F256" s="2">
        <f t="shared" si="17"/>
        <v>0.27800000000000002</v>
      </c>
      <c r="G256" s="2">
        <f t="shared" si="18"/>
        <v>-1.3174992565583498E-4</v>
      </c>
      <c r="H256" s="2">
        <f t="shared" si="19"/>
        <v>0.94670948142778544</v>
      </c>
      <c r="I256" s="2">
        <f t="shared" si="20"/>
        <v>1.5225904666070591</v>
      </c>
      <c r="J256" s="2">
        <f t="shared" si="21"/>
        <v>4.389122717068916E-3</v>
      </c>
      <c r="K256" s="2">
        <f t="shared" si="24"/>
        <v>0.27307049551252943</v>
      </c>
      <c r="L256" s="2">
        <f t="shared" si="22"/>
        <v>4.6361875561333086E-3</v>
      </c>
      <c r="M256" s="2">
        <f t="shared" si="25"/>
        <v>0.28844170346820303</v>
      </c>
    </row>
    <row r="257" spans="1:13" ht="15" x14ac:dyDescent="0.25">
      <c r="A257" s="21">
        <f t="shared" si="23"/>
        <v>0.60000000000000042</v>
      </c>
      <c r="B257" s="21">
        <f t="shared" si="13"/>
        <v>773.15</v>
      </c>
      <c r="C257" s="21">
        <f t="shared" si="14"/>
        <v>1.3776728439059158</v>
      </c>
      <c r="D257" s="21">
        <f t="shared" si="15"/>
        <v>-0.17268087812114627</v>
      </c>
      <c r="E257" s="21">
        <f t="shared" si="16"/>
        <v>7.5707704261701675E-2</v>
      </c>
      <c r="F257" s="21">
        <f t="shared" si="17"/>
        <v>0.27800000000000002</v>
      </c>
      <c r="G257" s="21">
        <f t="shared" si="18"/>
        <v>-1.3174992565583498E-4</v>
      </c>
      <c r="H257" s="21">
        <f t="shared" si="19"/>
        <v>0.94670948142778544</v>
      </c>
      <c r="I257" s="21">
        <f t="shared" si="20"/>
        <v>1.5225904666070591</v>
      </c>
      <c r="J257" s="23">
        <f t="shared" si="21"/>
        <v>4.4579177439822227E-3</v>
      </c>
      <c r="K257" s="24">
        <f t="shared" si="24"/>
        <v>0.27752841325651167</v>
      </c>
      <c r="L257" s="25">
        <f t="shared" si="22"/>
        <v>4.7088550726871225E-3</v>
      </c>
      <c r="M257" s="24">
        <f t="shared" si="25"/>
        <v>0.29315055854089017</v>
      </c>
    </row>
    <row r="258" spans="1:13" ht="15" x14ac:dyDescent="0.25">
      <c r="A258" s="2">
        <f t="shared" si="23"/>
        <v>0.60500000000000043</v>
      </c>
      <c r="B258" s="2">
        <f t="shared" si="13"/>
        <v>773.15</v>
      </c>
      <c r="C258" s="2">
        <f t="shared" si="14"/>
        <v>1.3776728439059158</v>
      </c>
      <c r="D258" s="2">
        <f t="shared" si="15"/>
        <v>-0.17268087812114627</v>
      </c>
      <c r="E258" s="2">
        <f t="shared" si="16"/>
        <v>7.5707704261701675E-2</v>
      </c>
      <c r="F258" s="2">
        <f t="shared" si="17"/>
        <v>0.27800000000000002</v>
      </c>
      <c r="G258" s="2">
        <f t="shared" si="18"/>
        <v>-1.3174992565583498E-4</v>
      </c>
      <c r="H258" s="2">
        <f t="shared" si="19"/>
        <v>0.94670948142778544</v>
      </c>
      <c r="I258" s="2">
        <f t="shared" si="20"/>
        <v>1.5225904666070591</v>
      </c>
      <c r="J258" s="2">
        <f t="shared" si="21"/>
        <v>4.5284544171464974E-3</v>
      </c>
      <c r="K258" s="2">
        <f t="shared" si="24"/>
        <v>0.28205686767365817</v>
      </c>
      <c r="L258" s="2">
        <f t="shared" si="22"/>
        <v>4.7833622732043231E-3</v>
      </c>
      <c r="M258" s="2">
        <f t="shared" si="25"/>
        <v>0.29793392081409448</v>
      </c>
    </row>
  </sheetData>
  <mergeCells count="7">
    <mergeCell ref="C135:G135"/>
    <mergeCell ref="L135:M135"/>
    <mergeCell ref="A1:D1"/>
    <mergeCell ref="E1:H1"/>
    <mergeCell ref="I1:L1"/>
    <mergeCell ref="C9:G9"/>
    <mergeCell ref="L9:M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sqref="A1:D1"/>
    </sheetView>
  </sheetViews>
  <sheetFormatPr baseColWidth="10" defaultColWidth="12.5703125" defaultRowHeight="15.75" customHeight="1" x14ac:dyDescent="0.2"/>
  <sheetData>
    <row r="1" spans="1:26" ht="15" x14ac:dyDescent="0.25">
      <c r="A1" s="39" t="s">
        <v>0</v>
      </c>
      <c r="B1" s="40"/>
      <c r="C1" s="40"/>
      <c r="D1" s="41"/>
      <c r="E1" s="39" t="s">
        <v>1</v>
      </c>
      <c r="F1" s="40"/>
      <c r="G1" s="40"/>
      <c r="H1" s="41"/>
      <c r="I1" s="39" t="s">
        <v>2</v>
      </c>
      <c r="J1" s="40"/>
      <c r="K1" s="40"/>
      <c r="L1" s="41"/>
      <c r="M1" s="1"/>
      <c r="N1" s="1" t="s">
        <v>3</v>
      </c>
      <c r="O1" s="2">
        <v>2600000</v>
      </c>
      <c r="P1" s="1"/>
      <c r="Q1" s="1" t="s">
        <v>39</v>
      </c>
      <c r="R1" s="28">
        <v>200</v>
      </c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3" t="s">
        <v>4</v>
      </c>
      <c r="B2" s="4">
        <v>98.96</v>
      </c>
      <c r="C2" s="5" t="s">
        <v>5</v>
      </c>
      <c r="D2" s="6"/>
      <c r="E2" s="3" t="s">
        <v>6</v>
      </c>
      <c r="F2" s="4">
        <v>62.5</v>
      </c>
      <c r="G2" s="5" t="s">
        <v>5</v>
      </c>
      <c r="H2" s="6"/>
      <c r="I2" s="3" t="s">
        <v>7</v>
      </c>
      <c r="J2" s="4">
        <v>36.46</v>
      </c>
      <c r="K2" s="5" t="s">
        <v>5</v>
      </c>
      <c r="L2" s="6"/>
      <c r="M2" s="1"/>
      <c r="N2" s="1" t="s">
        <v>8</v>
      </c>
      <c r="O2" s="2">
        <v>70900</v>
      </c>
      <c r="P2" s="1" t="s">
        <v>9</v>
      </c>
      <c r="Q2" s="5" t="s">
        <v>40</v>
      </c>
      <c r="R2" s="28">
        <v>81.22</v>
      </c>
      <c r="S2" s="1"/>
      <c r="T2" s="1"/>
      <c r="U2" s="1"/>
      <c r="V2" s="1"/>
      <c r="W2" s="1"/>
      <c r="X2" s="1"/>
      <c r="Y2" s="1"/>
      <c r="Z2" s="1"/>
    </row>
    <row r="3" spans="1:26" ht="15" x14ac:dyDescent="0.25">
      <c r="A3" s="3" t="s">
        <v>10</v>
      </c>
      <c r="B3" s="4">
        <v>561.20000000000005</v>
      </c>
      <c r="C3" s="5" t="s">
        <v>11</v>
      </c>
      <c r="D3" s="7">
        <v>5370000</v>
      </c>
      <c r="E3" s="3" t="s">
        <v>10</v>
      </c>
      <c r="F3" s="4">
        <v>429.7</v>
      </c>
      <c r="G3" s="5" t="s">
        <v>11</v>
      </c>
      <c r="H3" s="7">
        <v>5600000</v>
      </c>
      <c r="I3" s="3" t="s">
        <v>10</v>
      </c>
      <c r="J3" s="4">
        <v>324.60000000000002</v>
      </c>
      <c r="K3" s="5" t="s">
        <v>11</v>
      </c>
      <c r="L3" s="7">
        <v>8310000</v>
      </c>
      <c r="M3" s="1"/>
      <c r="N3" s="1" t="s">
        <v>12</v>
      </c>
      <c r="O3" s="2">
        <v>653.15</v>
      </c>
      <c r="P3" s="1"/>
      <c r="Q3" s="1" t="s">
        <v>41</v>
      </c>
      <c r="R3" s="29">
        <v>1073</v>
      </c>
      <c r="S3" s="1"/>
      <c r="T3" s="1"/>
      <c r="U3" s="1"/>
      <c r="V3" s="1"/>
      <c r="W3" s="1"/>
      <c r="X3" s="1"/>
      <c r="Y3" s="1"/>
      <c r="Z3" s="1"/>
    </row>
    <row r="4" spans="1:26" ht="15" x14ac:dyDescent="0.25">
      <c r="A4" s="3" t="s">
        <v>13</v>
      </c>
      <c r="B4" s="4">
        <v>0.27800000000000002</v>
      </c>
      <c r="C4" s="1"/>
      <c r="D4" s="6"/>
      <c r="E4" s="8"/>
      <c r="F4" s="1"/>
      <c r="G4" s="1"/>
      <c r="H4" s="6"/>
      <c r="I4" s="8"/>
      <c r="J4" s="1"/>
      <c r="K4" s="1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x14ac:dyDescent="0.25">
      <c r="A5" s="3" t="s">
        <v>15</v>
      </c>
      <c r="B5" s="1"/>
      <c r="C5" s="4">
        <f>31.83*4.18</f>
        <v>133.04939999999999</v>
      </c>
      <c r="D5" s="9" t="s">
        <v>16</v>
      </c>
      <c r="E5" s="3" t="s">
        <v>17</v>
      </c>
      <c r="F5" s="1"/>
      <c r="G5" s="4">
        <f>(19.4+22.45)/2*4.18</f>
        <v>87.466499999999982</v>
      </c>
      <c r="H5" s="9" t="s">
        <v>16</v>
      </c>
      <c r="I5" s="3" t="s">
        <v>18</v>
      </c>
      <c r="J5" s="1"/>
      <c r="K5" s="4">
        <f>(7.43+7.4)/2*4.18</f>
        <v>30.994699999999998</v>
      </c>
      <c r="L5" s="9" t="s">
        <v>16</v>
      </c>
      <c r="M5" s="1"/>
      <c r="N5" s="1" t="s">
        <v>19</v>
      </c>
      <c r="O5" s="2">
        <v>5.0000000000000001E-3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x14ac:dyDescent="0.25">
      <c r="A6" s="10" t="s">
        <v>20</v>
      </c>
      <c r="B6" s="11">
        <f>-216.67*1000</f>
        <v>-216670</v>
      </c>
      <c r="C6" s="12" t="s">
        <v>9</v>
      </c>
      <c r="D6" s="13"/>
      <c r="E6" s="10" t="s">
        <v>21</v>
      </c>
      <c r="F6" s="11">
        <f>-61.09*1000</f>
        <v>-61090</v>
      </c>
      <c r="G6" s="12" t="s">
        <v>9</v>
      </c>
      <c r="H6" s="13"/>
      <c r="I6" s="10" t="s">
        <v>22</v>
      </c>
      <c r="J6" s="11">
        <f>-74.81*1000</f>
        <v>-74810</v>
      </c>
      <c r="K6" s="12" t="s">
        <v>9</v>
      </c>
      <c r="L6" s="1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x14ac:dyDescent="0.25">
      <c r="A7" s="14" t="s">
        <v>23</v>
      </c>
      <c r="B7" s="15">
        <v>145</v>
      </c>
      <c r="C7" s="16" t="s">
        <v>24</v>
      </c>
      <c r="D7" s="17"/>
      <c r="E7" s="18"/>
      <c r="F7" s="19"/>
      <c r="G7" s="19"/>
      <c r="H7" s="17"/>
      <c r="I7" s="18"/>
      <c r="J7" s="19"/>
      <c r="K7" s="19"/>
      <c r="L7" s="1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x14ac:dyDescent="0.25">
      <c r="A9" s="1"/>
      <c r="B9" s="1"/>
      <c r="C9" s="42" t="s">
        <v>25</v>
      </c>
      <c r="D9" s="43"/>
      <c r="E9" s="43"/>
      <c r="F9" s="43"/>
      <c r="G9" s="43"/>
      <c r="H9" s="1" t="s">
        <v>26</v>
      </c>
      <c r="I9" s="1"/>
      <c r="J9" s="1"/>
      <c r="K9" s="1"/>
      <c r="L9" s="1"/>
      <c r="M9" s="3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x14ac:dyDescent="0.25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32</v>
      </c>
      <c r="F10" s="1" t="s">
        <v>33</v>
      </c>
      <c r="G10" s="1" t="s">
        <v>34</v>
      </c>
      <c r="H10" s="1" t="s">
        <v>35</v>
      </c>
      <c r="I10" s="1" t="s">
        <v>42</v>
      </c>
      <c r="J10" s="1" t="s">
        <v>36</v>
      </c>
      <c r="K10" s="1" t="s">
        <v>37</v>
      </c>
      <c r="L10" s="1" t="s">
        <v>43</v>
      </c>
      <c r="M10" s="30"/>
      <c r="N10" s="30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x14ac:dyDescent="0.25">
      <c r="A11" s="2">
        <v>0</v>
      </c>
      <c r="B11" s="2">
        <f>O3</f>
        <v>653.15</v>
      </c>
      <c r="C11" s="2">
        <f t="shared" ref="C11:C132" si="0">B11/$B$3</f>
        <v>1.1638453314326442</v>
      </c>
      <c r="D11" s="2">
        <f t="shared" ref="D11:D132" si="1">0.1445-(0.33/C11)-(0.1385/(C11^2))-(0.0121/(C11^3))-(0.000607/(C11^8))</f>
        <v>-0.24914755718456286</v>
      </c>
      <c r="E11" s="2">
        <f t="shared" ref="E11:E132" si="2">0.0637+0.331/C11^2-0.423/C11^3-0.008/C11^8</f>
        <v>3.7366747987382154E-2</v>
      </c>
      <c r="F11" s="2">
        <f t="shared" ref="F11:F132" si="3">$B$4</f>
        <v>0.27800000000000002</v>
      </c>
      <c r="G11" s="2">
        <f t="shared" ref="G11:G132" si="4">(8.314*$B$3/$D$3)*(D11+F11*E11)</f>
        <v>-2.0745038336050014E-4</v>
      </c>
      <c r="H11" s="2">
        <f t="shared" ref="H11:H132" si="5">1+G11*$O$1/(8.314*B11)</f>
        <v>0.90067361298732684</v>
      </c>
      <c r="I11" s="2">
        <f t="shared" ref="I11:I132" si="6">$O$5*((($R$1*$R$2*($R$3-B11)*8.314*B11*H11*(1+A11))/(J11*$O$1*(1-A11)))-($O$2))/((1-A11)*$C$5+A11*($G$5+$K$5))</f>
        <v>169.29892551270214</v>
      </c>
      <c r="J11" s="2">
        <f t="shared" ref="J11:J132" si="7">1.17*10^15*EXP(-53000/((2*B11)))</f>
        <v>2.8036601552034451E-3</v>
      </c>
      <c r="K11" s="2">
        <f t="shared" ref="K11:K132" si="8">$O$5*(8.314*B11*H11*$B$7*(1+A11)/(J11*$O$1*(1-A11)))</f>
        <v>0.48644044797660785</v>
      </c>
      <c r="L11" s="2">
        <f>K11</f>
        <v>0.48644044797660785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x14ac:dyDescent="0.25">
      <c r="A12" s="2">
        <f t="shared" ref="A12:A132" si="9">A11+$O$5</f>
        <v>5.0000000000000001E-3</v>
      </c>
      <c r="B12" s="2">
        <f t="shared" ref="B12:B132" si="10">B11+I11</f>
        <v>822.44892551270209</v>
      </c>
      <c r="C12" s="2">
        <f t="shared" si="0"/>
        <v>1.4655183989891341</v>
      </c>
      <c r="D12" s="2">
        <f t="shared" si="1"/>
        <v>-0.14903533409214484</v>
      </c>
      <c r="E12" s="2">
        <f t="shared" si="2"/>
        <v>8.3049340888796883E-2</v>
      </c>
      <c r="F12" s="2">
        <f t="shared" si="3"/>
        <v>0.27800000000000002</v>
      </c>
      <c r="G12" s="2">
        <f t="shared" si="4"/>
        <v>-1.0943175211084409E-4</v>
      </c>
      <c r="H12" s="2">
        <f t="shared" si="5"/>
        <v>0.95838999739255637</v>
      </c>
      <c r="I12" s="2">
        <f t="shared" si="6"/>
        <v>-2.6330936133020675</v>
      </c>
      <c r="J12" s="2">
        <f t="shared" si="7"/>
        <v>11.880927135773247</v>
      </c>
      <c r="K12" s="2">
        <f t="shared" si="8"/>
        <v>1.5535260402454226E-4</v>
      </c>
      <c r="L12" s="2">
        <f t="shared" ref="L12:L132" si="11">K12+L11</f>
        <v>0.4865958005806324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x14ac:dyDescent="0.25">
      <c r="A13" s="2">
        <f t="shared" si="9"/>
        <v>0.01</v>
      </c>
      <c r="B13" s="2">
        <f t="shared" si="10"/>
        <v>819.8158318994</v>
      </c>
      <c r="C13" s="2">
        <f t="shared" si="0"/>
        <v>1.4608265001771203</v>
      </c>
      <c r="D13" s="2">
        <f t="shared" si="1"/>
        <v>-0.15021135983279926</v>
      </c>
      <c r="E13" s="2">
        <f t="shared" si="2"/>
        <v>8.2732070551326781E-2</v>
      </c>
      <c r="F13" s="2">
        <f t="shared" si="3"/>
        <v>0.27800000000000002</v>
      </c>
      <c r="G13" s="2">
        <f t="shared" si="4"/>
        <v>-1.1053019737774078E-4</v>
      </c>
      <c r="H13" s="2">
        <f t="shared" si="5"/>
        <v>0.95783734289956191</v>
      </c>
      <c r="I13" s="2">
        <f t="shared" si="6"/>
        <v>-2.6303497088889189</v>
      </c>
      <c r="J13" s="2">
        <f t="shared" si="7"/>
        <v>10.712883488364692</v>
      </c>
      <c r="K13" s="2">
        <f t="shared" si="8"/>
        <v>1.7336544633099837E-4</v>
      </c>
      <c r="L13" s="2">
        <f t="shared" si="11"/>
        <v>0.48676916602696341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x14ac:dyDescent="0.25">
      <c r="A14" s="2">
        <f t="shared" si="9"/>
        <v>1.4999999999999999E-2</v>
      </c>
      <c r="B14" s="2">
        <f t="shared" si="10"/>
        <v>817.18548219051104</v>
      </c>
      <c r="C14" s="2">
        <f t="shared" si="0"/>
        <v>1.4561394907172327</v>
      </c>
      <c r="D14" s="2">
        <f t="shared" si="1"/>
        <v>-0.15139532567491029</v>
      </c>
      <c r="E14" s="2">
        <f t="shared" si="2"/>
        <v>8.2407659253096843E-2</v>
      </c>
      <c r="F14" s="2">
        <f t="shared" si="3"/>
        <v>0.27800000000000002</v>
      </c>
      <c r="G14" s="2">
        <f t="shared" si="4"/>
        <v>-1.1163726640218893E-4</v>
      </c>
      <c r="H14" s="2">
        <f t="shared" si="5"/>
        <v>0.95727797017121974</v>
      </c>
      <c r="I14" s="2">
        <f t="shared" si="6"/>
        <v>-2.6270498811652363</v>
      </c>
      <c r="J14" s="2">
        <f t="shared" si="7"/>
        <v>9.6542843605390978</v>
      </c>
      <c r="K14" s="2">
        <f t="shared" si="8"/>
        <v>1.9357225578807983E-4</v>
      </c>
      <c r="L14" s="2">
        <f t="shared" si="11"/>
        <v>0.48696273828275149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x14ac:dyDescent="0.25">
      <c r="A15" s="2">
        <f t="shared" si="9"/>
        <v>0.02</v>
      </c>
      <c r="B15" s="2">
        <f t="shared" si="10"/>
        <v>814.55843230934579</v>
      </c>
      <c r="C15" s="2">
        <f t="shared" si="0"/>
        <v>1.4514583612069596</v>
      </c>
      <c r="D15" s="2">
        <f t="shared" si="1"/>
        <v>-0.15258705500526629</v>
      </c>
      <c r="E15" s="2">
        <f t="shared" si="2"/>
        <v>8.20760446958642E-2</v>
      </c>
      <c r="F15" s="2">
        <f t="shared" si="3"/>
        <v>0.27800000000000002</v>
      </c>
      <c r="G15" s="2">
        <f t="shared" si="4"/>
        <v>-1.127528207785979E-4</v>
      </c>
      <c r="H15" s="2">
        <f t="shared" si="5"/>
        <v>0.95671190245755855</v>
      </c>
      <c r="I15" s="2">
        <f t="shared" si="6"/>
        <v>-2.6231187821134587</v>
      </c>
      <c r="J15" s="2">
        <f t="shared" si="7"/>
        <v>8.6955928908681575</v>
      </c>
      <c r="K15" s="2">
        <f t="shared" si="8"/>
        <v>2.162484468510349E-4</v>
      </c>
      <c r="L15" s="2">
        <f t="shared" si="11"/>
        <v>0.48717898672960253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hidden="1" x14ac:dyDescent="0.25">
      <c r="A16" s="2">
        <f t="shared" si="9"/>
        <v>2.5000000000000001E-2</v>
      </c>
      <c r="B16" s="2">
        <f t="shared" si="10"/>
        <v>811.93531352723232</v>
      </c>
      <c r="C16" s="2">
        <f t="shared" si="0"/>
        <v>1.4467842365061159</v>
      </c>
      <c r="D16" s="2">
        <f t="shared" si="1"/>
        <v>-0.15378632964182196</v>
      </c>
      <c r="E16" s="2">
        <f t="shared" si="2"/>
        <v>8.173717841681867E-2</v>
      </c>
      <c r="F16" s="2">
        <f t="shared" si="3"/>
        <v>0.27800000000000002</v>
      </c>
      <c r="G16" s="2">
        <f t="shared" si="4"/>
        <v>-1.1387668264170081E-4</v>
      </c>
      <c r="H16" s="2">
        <f t="shared" si="5"/>
        <v>0.9561391842827025</v>
      </c>
      <c r="I16" s="2">
        <f t="shared" si="6"/>
        <v>-2.6184709773857056</v>
      </c>
      <c r="J16" s="2">
        <f t="shared" si="7"/>
        <v>7.828039631572933</v>
      </c>
      <c r="K16" s="2">
        <f t="shared" si="8"/>
        <v>2.4170378983580411E-4</v>
      </c>
      <c r="L16" s="2">
        <f t="shared" si="11"/>
        <v>0.48742069051943832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hidden="1" x14ac:dyDescent="0.25">
      <c r="A17" s="2">
        <f t="shared" si="9"/>
        <v>3.0000000000000002E-2</v>
      </c>
      <c r="B17" s="2">
        <f t="shared" si="10"/>
        <v>809.31684254984657</v>
      </c>
      <c r="C17" s="2">
        <f t="shared" si="0"/>
        <v>1.4421183937096338</v>
      </c>
      <c r="D17" s="2">
        <f t="shared" si="1"/>
        <v>-0.15499288362058847</v>
      </c>
      <c r="E17" s="2">
        <f t="shared" si="2"/>
        <v>8.1391028549824024E-2</v>
      </c>
      <c r="F17" s="2">
        <f t="shared" si="3"/>
        <v>0.27800000000000002</v>
      </c>
      <c r="G17" s="2">
        <f t="shared" si="4"/>
        <v>-1.1500862860122291E-4</v>
      </c>
      <c r="H17" s="2">
        <f t="shared" si="5"/>
        <v>0.95555988500114486</v>
      </c>
      <c r="I17" s="2">
        <f t="shared" si="6"/>
        <v>-2.6130097015437128</v>
      </c>
      <c r="J17" s="2">
        <f t="shared" si="7"/>
        <v>7.043566267731725</v>
      </c>
      <c r="K17" s="2">
        <f t="shared" si="8"/>
        <v>2.7028631191197824E-4</v>
      </c>
      <c r="L17" s="2">
        <f t="shared" si="11"/>
        <v>0.48769097683135032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hidden="1" x14ac:dyDescent="0.25">
      <c r="A18" s="2">
        <f t="shared" si="9"/>
        <v>3.5000000000000003E-2</v>
      </c>
      <c r="B18" s="2">
        <f t="shared" si="10"/>
        <v>806.70383284830291</v>
      </c>
      <c r="C18" s="2">
        <f t="shared" si="0"/>
        <v>1.4374622823383871</v>
      </c>
      <c r="D18" s="2">
        <f t="shared" si="1"/>
        <v>-0.15620639614209511</v>
      </c>
      <c r="E18" s="2">
        <f t="shared" si="2"/>
        <v>8.1037583017816134E-2</v>
      </c>
      <c r="F18" s="2">
        <f t="shared" si="3"/>
        <v>0.27800000000000002</v>
      </c>
      <c r="G18" s="2">
        <f t="shared" si="4"/>
        <v>-1.1614838284218558E-4</v>
      </c>
      <c r="H18" s="2">
        <f t="shared" si="5"/>
        <v>0.95497410286682494</v>
      </c>
      <c r="I18" s="2">
        <f t="shared" si="6"/>
        <v>-2.6066255038714883</v>
      </c>
      <c r="J18" s="2">
        <f t="shared" si="7"/>
        <v>6.3347730308055539</v>
      </c>
      <c r="K18" s="2">
        <f t="shared" si="8"/>
        <v>3.0238648100408712E-4</v>
      </c>
      <c r="L18" s="2">
        <f t="shared" si="11"/>
        <v>0.48799336331235443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hidden="1" x14ac:dyDescent="0.25">
      <c r="A19" s="2">
        <f t="shared" si="9"/>
        <v>0.04</v>
      </c>
      <c r="B19" s="2">
        <f t="shared" si="10"/>
        <v>804.09720734443147</v>
      </c>
      <c r="C19" s="2">
        <f t="shared" si="0"/>
        <v>1.4328175469430353</v>
      </c>
      <c r="D19" s="2">
        <f t="shared" si="1"/>
        <v>-0.15742648358874503</v>
      </c>
      <c r="E19" s="2">
        <f t="shared" si="2"/>
        <v>8.0676853211872124E-2</v>
      </c>
      <c r="F19" s="2">
        <f t="shared" si="3"/>
        <v>0.27800000000000002</v>
      </c>
      <c r="G19" s="2">
        <f t="shared" si="4"/>
        <v>-1.1729560930038748E-4</v>
      </c>
      <c r="H19" s="2">
        <f t="shared" si="5"/>
        <v>0.95438196967466959</v>
      </c>
      <c r="I19" s="2">
        <f t="shared" si="6"/>
        <v>-2.5991947920571405</v>
      </c>
      <c r="J19" s="2">
        <f t="shared" si="7"/>
        <v>5.6948695954349322</v>
      </c>
      <c r="K19" s="2">
        <f t="shared" si="8"/>
        <v>3.3844163233243401E-4</v>
      </c>
      <c r="L19" s="2">
        <f t="shared" si="11"/>
        <v>0.48833180494468686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hidden="1" x14ac:dyDescent="0.25">
      <c r="A20" s="2">
        <f t="shared" si="9"/>
        <v>4.4999999999999998E-2</v>
      </c>
      <c r="B20" s="2">
        <f t="shared" si="10"/>
        <v>801.49801255237435</v>
      </c>
      <c r="C20" s="2">
        <f t="shared" si="0"/>
        <v>1.4281860523028764</v>
      </c>
      <c r="D20" s="2">
        <f t="shared" si="1"/>
        <v>-0.15865269052460568</v>
      </c>
      <c r="E20" s="2">
        <f t="shared" si="2"/>
        <v>8.0308878215566842E-2</v>
      </c>
      <c r="F20" s="2">
        <f t="shared" si="3"/>
        <v>0.27800000000000002</v>
      </c>
      <c r="G20" s="2">
        <f t="shared" si="4"/>
        <v>-1.1844990282204541E-4</v>
      </c>
      <c r="H20" s="2">
        <f t="shared" si="5"/>
        <v>0.95378365603591064</v>
      </c>
      <c r="I20" s="2">
        <f t="shared" si="6"/>
        <v>-2.5905782890580644</v>
      </c>
      <c r="J20" s="2">
        <f t="shared" si="7"/>
        <v>5.1176292584702185</v>
      </c>
      <c r="K20" s="2">
        <f t="shared" si="8"/>
        <v>3.7894056898584013E-4</v>
      </c>
      <c r="L20" s="2">
        <f t="shared" si="11"/>
        <v>0.48871074551367272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hidden="1" x14ac:dyDescent="0.25">
      <c r="A21" s="2">
        <f t="shared" si="9"/>
        <v>4.9999999999999996E-2</v>
      </c>
      <c r="B21" s="2">
        <f t="shared" si="10"/>
        <v>798.9074342633163</v>
      </c>
      <c r="C21" s="2">
        <f t="shared" si="0"/>
        <v>1.4235699113744054</v>
      </c>
      <c r="D21" s="2">
        <f t="shared" si="1"/>
        <v>-0.1598844795938002</v>
      </c>
      <c r="E21" s="2">
        <f t="shared" si="2"/>
        <v>7.9933729634761433E-2</v>
      </c>
      <c r="F21" s="2">
        <f t="shared" si="3"/>
        <v>0.27800000000000002</v>
      </c>
      <c r="G21" s="2">
        <f t="shared" si="4"/>
        <v>-1.1961077922022635E-4</v>
      </c>
      <c r="H21" s="2">
        <f t="shared" si="5"/>
        <v>0.9531793773478221</v>
      </c>
      <c r="I21" s="2">
        <f t="shared" si="6"/>
        <v>-2.5806194294386526</v>
      </c>
      <c r="J21" s="2">
        <f t="shared" si="7"/>
        <v>4.5973462088465018</v>
      </c>
      <c r="K21" s="2">
        <f t="shared" si="8"/>
        <v>4.2442823011459006E-4</v>
      </c>
      <c r="L21" s="2">
        <f t="shared" si="11"/>
        <v>0.48913517374378729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hidden="1" x14ac:dyDescent="0.25">
      <c r="A22" s="2">
        <f t="shared" si="9"/>
        <v>5.4999999999999993E-2</v>
      </c>
      <c r="B22" s="2">
        <f t="shared" si="10"/>
        <v>796.32681483387762</v>
      </c>
      <c r="C22" s="2">
        <f t="shared" si="0"/>
        <v>1.4189715160974297</v>
      </c>
      <c r="D22" s="2">
        <f t="shared" si="1"/>
        <v>-0.16112122024458159</v>
      </c>
      <c r="E22" s="2">
        <f t="shared" si="2"/>
        <v>7.9551517092037269E-2</v>
      </c>
      <c r="F22" s="2">
        <f t="shared" si="3"/>
        <v>0.27800000000000002</v>
      </c>
      <c r="G22" s="2">
        <f t="shared" si="4"/>
        <v>-1.2077766415041188E-4</v>
      </c>
      <c r="H22" s="2">
        <f t="shared" si="5"/>
        <v>0.9525694005144556</v>
      </c>
      <c r="I22" s="2">
        <f t="shared" si="6"/>
        <v>-2.5691427361433981</v>
      </c>
      <c r="J22" s="2">
        <f t="shared" si="7"/>
        <v>4.1287957062144311</v>
      </c>
      <c r="K22" s="2">
        <f t="shared" si="8"/>
        <v>4.7551027090792132E-4</v>
      </c>
      <c r="L22" s="2">
        <f t="shared" si="11"/>
        <v>0.48961068401469521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hidden="1" x14ac:dyDescent="0.25">
      <c r="A23" s="2">
        <f t="shared" si="9"/>
        <v>5.9999999999999991E-2</v>
      </c>
      <c r="B23" s="2">
        <f t="shared" si="10"/>
        <v>793.75767209773426</v>
      </c>
      <c r="C23" s="2">
        <f t="shared" si="0"/>
        <v>1.4143935710936104</v>
      </c>
      <c r="D23" s="2">
        <f t="shared" si="1"/>
        <v>-0.16236217622578242</v>
      </c>
      <c r="E23" s="2">
        <f t="shared" si="2"/>
        <v>7.9162394440421377E-2</v>
      </c>
      <c r="F23" s="2">
        <f t="shared" si="3"/>
        <v>0.27800000000000002</v>
      </c>
      <c r="G23" s="2">
        <f t="shared" si="4"/>
        <v>-1.2194988074567903E-4</v>
      </c>
      <c r="H23" s="2">
        <f t="shared" si="5"/>
        <v>0.95195405146601964</v>
      </c>
      <c r="I23" s="2">
        <f t="shared" si="6"/>
        <v>-2.5559522378574511</v>
      </c>
      <c r="J23" s="2">
        <f t="shared" si="7"/>
        <v>3.7071969951880259</v>
      </c>
      <c r="K23" s="2">
        <f t="shared" si="8"/>
        <v>5.3285733518997676E-4</v>
      </c>
      <c r="L23" s="2">
        <f t="shared" si="11"/>
        <v>0.49014354134988519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hidden="1" x14ac:dyDescent="0.25">
      <c r="A24" s="2">
        <f t="shared" si="9"/>
        <v>6.4999999999999988E-2</v>
      </c>
      <c r="B24" s="2">
        <f t="shared" si="10"/>
        <v>791.20171985987679</v>
      </c>
      <c r="C24" s="2">
        <f t="shared" si="0"/>
        <v>1.4098391301850974</v>
      </c>
      <c r="D24" s="2">
        <f t="shared" si="1"/>
        <v>-0.16360649183366127</v>
      </c>
      <c r="E24" s="2">
        <f t="shared" si="2"/>
        <v>7.8766566741312119E-2</v>
      </c>
      <c r="F24" s="2">
        <f t="shared" si="3"/>
        <v>0.27800000000000002</v>
      </c>
      <c r="G24" s="2">
        <f t="shared" si="4"/>
        <v>-1.2312663598155262E-4</v>
      </c>
      <c r="H24" s="2">
        <f t="shared" si="5"/>
        <v>0.95133372350895251</v>
      </c>
      <c r="I24" s="2">
        <f t="shared" si="6"/>
        <v>-2.5408300116474267</v>
      </c>
      <c r="J24" s="2">
        <f t="shared" si="7"/>
        <v>3.3281787906814415</v>
      </c>
      <c r="K24" s="2">
        <f t="shared" si="8"/>
        <v>5.9720872202159508E-4</v>
      </c>
      <c r="L24" s="2">
        <f t="shared" si="11"/>
        <v>0.49074075007190676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hidden="1" x14ac:dyDescent="0.25">
      <c r="A25" s="2">
        <f t="shared" si="9"/>
        <v>6.9999999999999993E-2</v>
      </c>
      <c r="B25" s="2">
        <f t="shared" si="10"/>
        <v>788.66088984822932</v>
      </c>
      <c r="C25" s="2">
        <f t="shared" si="0"/>
        <v>1.4053116355100308</v>
      </c>
      <c r="D25" s="2">
        <f t="shared" si="1"/>
        <v>-0.16485317693387344</v>
      </c>
      <c r="E25" s="2">
        <f t="shared" si="2"/>
        <v>7.8364298034679272E-2</v>
      </c>
      <c r="F25" s="2">
        <f t="shared" si="3"/>
        <v>0.27800000000000002</v>
      </c>
      <c r="G25" s="2">
        <f t="shared" si="4"/>
        <v>-1.2430700578523358E-4</v>
      </c>
      <c r="H25" s="2">
        <f t="shared" si="5"/>
        <v>0.95070888651418239</v>
      </c>
      <c r="I25" s="2">
        <f t="shared" si="6"/>
        <v>-2.5235349662185982</v>
      </c>
      <c r="J25" s="2">
        <f t="shared" si="7"/>
        <v>2.9877471780794238</v>
      </c>
      <c r="K25" s="2">
        <f t="shared" si="8"/>
        <v>6.6937505036661978E-4</v>
      </c>
      <c r="L25" s="2">
        <f t="shared" si="11"/>
        <v>0.49141012512227339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hidden="1" x14ac:dyDescent="0.25">
      <c r="A26" s="2">
        <f t="shared" si="9"/>
        <v>7.4999999999999997E-2</v>
      </c>
      <c r="B26" s="2">
        <f t="shared" si="10"/>
        <v>786.13735488201075</v>
      </c>
      <c r="C26" s="2">
        <f t="shared" si="0"/>
        <v>1.4008149588061487</v>
      </c>
      <c r="D26" s="2">
        <f t="shared" si="1"/>
        <v>-0.16610109084970129</v>
      </c>
      <c r="E26" s="2">
        <f t="shared" si="2"/>
        <v>7.7955919903312063E-2</v>
      </c>
      <c r="F26" s="2">
        <f t="shared" si="3"/>
        <v>0.27800000000000002</v>
      </c>
      <c r="G26" s="2">
        <f t="shared" si="4"/>
        <v>-1.2548991896795894E-4</v>
      </c>
      <c r="H26" s="2">
        <f t="shared" si="5"/>
        <v>0.95008009691485862</v>
      </c>
      <c r="I26" s="2">
        <f t="shared" si="6"/>
        <v>-2.5038020183621503</v>
      </c>
      <c r="J26" s="2">
        <f t="shared" si="7"/>
        <v>2.682255779927786</v>
      </c>
      <c r="K26" s="2">
        <f t="shared" si="8"/>
        <v>7.5023940992998805E-4</v>
      </c>
      <c r="L26" s="2">
        <f t="shared" si="11"/>
        <v>0.49216036453220335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hidden="1" x14ac:dyDescent="0.25">
      <c r="A27" s="2">
        <f t="shared" si="9"/>
        <v>0.08</v>
      </c>
      <c r="B27" s="2">
        <f t="shared" si="10"/>
        <v>783.63355286364856</v>
      </c>
      <c r="C27" s="2">
        <f t="shared" si="0"/>
        <v>1.3963534441618826</v>
      </c>
      <c r="D27" s="2">
        <f t="shared" si="1"/>
        <v>-0.16734892529863821</v>
      </c>
      <c r="E27" s="2">
        <f t="shared" si="2"/>
        <v>7.7541840794337499E-2</v>
      </c>
      <c r="F27" s="2">
        <f t="shared" si="3"/>
        <v>0.27800000000000002</v>
      </c>
      <c r="G27" s="2">
        <f t="shared" si="4"/>
        <v>-1.2667414014759271E-4</v>
      </c>
      <c r="H27" s="2">
        <f t="shared" si="5"/>
        <v>0.94944800843384236</v>
      </c>
      <c r="I27" s="2">
        <f t="shared" si="6"/>
        <v>-2.4813418589613616</v>
      </c>
      <c r="J27" s="2">
        <f t="shared" si="7"/>
        <v>2.4083780484441579</v>
      </c>
      <c r="K27" s="2">
        <f t="shared" si="8"/>
        <v>8.4075635285842814E-4</v>
      </c>
      <c r="L27" s="2">
        <f t="shared" si="11"/>
        <v>0.49300112088506176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hidden="1" x14ac:dyDescent="0.25">
      <c r="A28" s="2">
        <f t="shared" si="9"/>
        <v>8.5000000000000006E-2</v>
      </c>
      <c r="B28" s="2">
        <f t="shared" si="10"/>
        <v>781.15221100468716</v>
      </c>
      <c r="C28" s="2">
        <f t="shared" si="0"/>
        <v>1.3919319511844033</v>
      </c>
      <c r="D28" s="2">
        <f t="shared" si="1"/>
        <v>-0.16859518668003398</v>
      </c>
      <c r="E28" s="2">
        <f t="shared" si="2"/>
        <v>7.7122556007307511E-2</v>
      </c>
      <c r="F28" s="2">
        <f t="shared" si="3"/>
        <v>0.27800000000000002</v>
      </c>
      <c r="G28" s="2">
        <f t="shared" si="4"/>
        <v>-1.2785825194636878E-4</v>
      </c>
      <c r="H28" s="2">
        <f t="shared" si="5"/>
        <v>0.94881338339206556</v>
      </c>
      <c r="I28" s="2">
        <f t="shared" si="6"/>
        <v>-2.4558415543227188</v>
      </c>
      <c r="J28" s="2">
        <f t="shared" si="7"/>
        <v>2.1630815504401828</v>
      </c>
      <c r="K28" s="2">
        <f t="shared" si="8"/>
        <v>9.4194793439717774E-4</v>
      </c>
      <c r="L28" s="2">
        <f t="shared" si="11"/>
        <v>0.49394306881945893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hidden="1" x14ac:dyDescent="0.25">
      <c r="A29" s="2">
        <f t="shared" si="9"/>
        <v>9.0000000000000011E-2</v>
      </c>
      <c r="B29" s="2">
        <f t="shared" si="10"/>
        <v>778.69636945036439</v>
      </c>
      <c r="C29" s="2">
        <f t="shared" si="0"/>
        <v>1.3875558970961588</v>
      </c>
      <c r="D29" s="2">
        <f t="shared" si="1"/>
        <v>-0.16983817817161606</v>
      </c>
      <c r="E29" s="2">
        <f t="shared" si="2"/>
        <v>7.6698658185615082E-2</v>
      </c>
      <c r="F29" s="2">
        <f t="shared" si="3"/>
        <v>0.27800000000000002</v>
      </c>
      <c r="G29" s="2">
        <f t="shared" si="4"/>
        <v>-1.2904063690099578E-4</v>
      </c>
      <c r="H29" s="2">
        <f t="shared" si="5"/>
        <v>0.94817710435815072</v>
      </c>
      <c r="I29" s="2">
        <f t="shared" si="6"/>
        <v>-2.4269662811915214</v>
      </c>
      <c r="J29" s="2">
        <f t="shared" si="7"/>
        <v>1.9436041182177726</v>
      </c>
      <c r="K29" s="2">
        <f t="shared" si="8"/>
        <v>1.0548958598529275E-3</v>
      </c>
      <c r="L29" s="2">
        <f t="shared" si="11"/>
        <v>0.49499796467931184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x14ac:dyDescent="0.25">
      <c r="A30" s="2">
        <f t="shared" si="9"/>
        <v>9.5000000000000015E-2</v>
      </c>
      <c r="B30" s="2">
        <f t="shared" si="10"/>
        <v>776.26940316917285</v>
      </c>
      <c r="C30" s="2">
        <f t="shared" si="0"/>
        <v>1.3832312957397948</v>
      </c>
      <c r="D30" s="2">
        <f t="shared" si="1"/>
        <v>-0.17107598228596188</v>
      </c>
      <c r="E30" s="2">
        <f t="shared" si="2"/>
        <v>7.6270848053879348E-2</v>
      </c>
      <c r="F30" s="2">
        <f t="shared" si="3"/>
        <v>0.27800000000000002</v>
      </c>
      <c r="G30" s="2">
        <f t="shared" si="4"/>
        <v>-1.3021945971298566E-4</v>
      </c>
      <c r="H30" s="2">
        <f t="shared" si="5"/>
        <v>0.94754018578458088</v>
      </c>
      <c r="I30" s="2">
        <f t="shared" si="6"/>
        <v>-2.3943625450765307</v>
      </c>
      <c r="J30" s="2">
        <f t="shared" si="7"/>
        <v>1.7474317466616467</v>
      </c>
      <c r="K30" s="2">
        <f t="shared" si="8"/>
        <v>1.180728656094367E-3</v>
      </c>
      <c r="L30" s="2">
        <f t="shared" si="11"/>
        <v>0.49617869333540621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hidden="1" x14ac:dyDescent="0.25">
      <c r="A31" s="2">
        <f t="shared" si="9"/>
        <v>0.10000000000000002</v>
      </c>
      <c r="B31" s="2">
        <f t="shared" si="10"/>
        <v>773.8750406240963</v>
      </c>
      <c r="C31" s="2">
        <f t="shared" si="0"/>
        <v>1.378964790848354</v>
      </c>
      <c r="D31" s="2">
        <f t="shared" si="1"/>
        <v>-0.17230644477056406</v>
      </c>
      <c r="E31" s="2">
        <f t="shared" si="2"/>
        <v>7.5839945026181008E-2</v>
      </c>
      <c r="F31" s="2">
        <f t="shared" si="3"/>
        <v>0.27800000000000002</v>
      </c>
      <c r="G31" s="2">
        <f t="shared" si="4"/>
        <v>-1.3139265069758168E-4</v>
      </c>
      <c r="H31" s="2">
        <f t="shared" si="5"/>
        <v>0.94690378513471696</v>
      </c>
      <c r="I31" s="2">
        <f t="shared" si="6"/>
        <v>-2.3576632740347896</v>
      </c>
      <c r="J31" s="2">
        <f t="shared" si="7"/>
        <v>1.5722781231021681</v>
      </c>
      <c r="K31" s="2">
        <f t="shared" si="8"/>
        <v>1.3206026830074504E-3</v>
      </c>
      <c r="L31" s="2">
        <f t="shared" si="11"/>
        <v>0.49749929601841364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hidden="1" x14ac:dyDescent="0.25">
      <c r="A32" s="2">
        <f t="shared" si="9"/>
        <v>0.10500000000000002</v>
      </c>
      <c r="B32" s="2">
        <f t="shared" si="10"/>
        <v>771.51737735006157</v>
      </c>
      <c r="C32" s="2">
        <f t="shared" si="0"/>
        <v>1.3747636802388836</v>
      </c>
      <c r="D32" s="2">
        <f t="shared" si="1"/>
        <v>-0.17352716100371091</v>
      </c>
      <c r="E32" s="2">
        <f t="shared" si="2"/>
        <v>7.5406897168481118E-2</v>
      </c>
      <c r="F32" s="2">
        <f t="shared" si="3"/>
        <v>0.27800000000000002</v>
      </c>
      <c r="G32" s="2">
        <f t="shared" si="4"/>
        <v>-1.3255789155721201E-4</v>
      </c>
      <c r="H32" s="2">
        <f t="shared" si="5"/>
        <v>0.94626921283907039</v>
      </c>
      <c r="I32" s="2">
        <f t="shared" si="6"/>
        <v>-2.3164952028223995</v>
      </c>
      <c r="J32" s="2">
        <f t="shared" si="7"/>
        <v>1.4160656825806963</v>
      </c>
      <c r="K32" s="2">
        <f t="shared" si="8"/>
        <v>1.4756757693454795E-3</v>
      </c>
      <c r="L32" s="2">
        <f t="shared" si="11"/>
        <v>0.49897497178775913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hidden="1" x14ac:dyDescent="0.25">
      <c r="A33" s="2">
        <f t="shared" si="9"/>
        <v>0.11000000000000003</v>
      </c>
      <c r="B33" s="2">
        <f t="shared" si="10"/>
        <v>769.20088214723921</v>
      </c>
      <c r="C33" s="2">
        <f t="shared" si="0"/>
        <v>1.3706359268482522</v>
      </c>
      <c r="D33" s="2">
        <f t="shared" si="1"/>
        <v>-0.17473546633279641</v>
      </c>
      <c r="E33" s="2">
        <f t="shared" si="2"/>
        <v>7.4972789836258089E-2</v>
      </c>
      <c r="F33" s="2">
        <f t="shared" si="3"/>
        <v>0.27800000000000002</v>
      </c>
      <c r="G33" s="2">
        <f t="shared" si="4"/>
        <v>-1.3371260490038558E-4</v>
      </c>
      <c r="H33" s="2">
        <f t="shared" si="5"/>
        <v>0.94563794023346359</v>
      </c>
      <c r="I33" s="2">
        <f t="shared" si="6"/>
        <v>-2.2704889501590184</v>
      </c>
      <c r="J33" s="2">
        <f t="shared" si="7"/>
        <v>1.2769080869259632</v>
      </c>
      <c r="K33" s="2">
        <f t="shared" si="8"/>
        <v>1.6470723456303558E-3</v>
      </c>
      <c r="L33" s="2">
        <f t="shared" si="11"/>
        <v>0.50062204413338951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hidden="1" x14ac:dyDescent="0.25">
      <c r="A34" s="2">
        <f t="shared" si="9"/>
        <v>0.11500000000000003</v>
      </c>
      <c r="B34" s="2">
        <f t="shared" si="10"/>
        <v>766.93039319708021</v>
      </c>
      <c r="C34" s="2">
        <f t="shared" si="0"/>
        <v>1.3665901518123309</v>
      </c>
      <c r="D34" s="2">
        <f t="shared" si="1"/>
        <v>-0.17592843210177131</v>
      </c>
      <c r="E34" s="2">
        <f t="shared" si="2"/>
        <v>7.4538852133303024E-2</v>
      </c>
      <c r="F34" s="2">
        <f t="shared" si="3"/>
        <v>0.27800000000000002</v>
      </c>
      <c r="G34" s="2">
        <f t="shared" si="4"/>
        <v>-1.348539492299847E-4</v>
      </c>
      <c r="H34" s="2">
        <f t="shared" si="5"/>
        <v>0.94501160443700838</v>
      </c>
      <c r="I34" s="2">
        <f t="shared" si="6"/>
        <v>-2.2192921256959668</v>
      </c>
      <c r="J34" s="2">
        <f t="shared" si="7"/>
        <v>1.153094031571585</v>
      </c>
      <c r="K34" s="2">
        <f t="shared" si="8"/>
        <v>1.8358392121310661E-3</v>
      </c>
      <c r="L34" s="2">
        <f t="shared" si="11"/>
        <v>0.50245788334552055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hidden="1" x14ac:dyDescent="0.25">
      <c r="A35" s="2">
        <f t="shared" si="9"/>
        <v>0.12000000000000004</v>
      </c>
      <c r="B35" s="2">
        <f t="shared" si="10"/>
        <v>764.71110107138429</v>
      </c>
      <c r="C35" s="2">
        <f t="shared" si="0"/>
        <v>1.3626356041899219</v>
      </c>
      <c r="D35" s="2">
        <f t="shared" si="1"/>
        <v>-0.17710286938724204</v>
      </c>
      <c r="E35" s="2">
        <f t="shared" si="2"/>
        <v>7.4106460164394761E-2</v>
      </c>
      <c r="F35" s="2">
        <f t="shared" si="3"/>
        <v>0.27800000000000002</v>
      </c>
      <c r="G35" s="2">
        <f t="shared" si="4"/>
        <v>-1.3597882140377077E-4</v>
      </c>
      <c r="H35" s="2">
        <f t="shared" si="5"/>
        <v>0.9443920089430895</v>
      </c>
      <c r="I35" s="2">
        <f t="shared" si="6"/>
        <v>-2.1625856614285435</v>
      </c>
      <c r="J35" s="2">
        <f t="shared" si="7"/>
        <v>1.0430722893421032</v>
      </c>
      <c r="K35" s="2">
        <f t="shared" si="8"/>
        <v>2.0428915860219478E-3</v>
      </c>
      <c r="L35" s="2">
        <f t="shared" si="11"/>
        <v>0.50450077493154255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hidden="1" x14ac:dyDescent="0.25">
      <c r="A36" s="2">
        <f t="shared" si="9"/>
        <v>0.12500000000000003</v>
      </c>
      <c r="B36" s="2">
        <f t="shared" si="10"/>
        <v>762.54851540995571</v>
      </c>
      <c r="C36" s="2">
        <f t="shared" si="0"/>
        <v>1.3587821015858084</v>
      </c>
      <c r="D36" s="2">
        <f t="shared" si="1"/>
        <v>-0.17825534265989518</v>
      </c>
      <c r="E36" s="2">
        <f t="shared" si="2"/>
        <v>7.3677135906356495E-2</v>
      </c>
      <c r="F36" s="2">
        <f t="shared" si="3"/>
        <v>0.27800000000000002</v>
      </c>
      <c r="G36" s="2">
        <f t="shared" si="4"/>
        <v>-1.3708386877703873E-4</v>
      </c>
      <c r="H36" s="2">
        <f t="shared" si="5"/>
        <v>0.94378111855029734</v>
      </c>
      <c r="I36" s="2">
        <f t="shared" si="6"/>
        <v>-2.1001033236340616</v>
      </c>
      <c r="J36" s="2">
        <f t="shared" si="7"/>
        <v>0.94543790555502094</v>
      </c>
      <c r="K36" s="2">
        <f t="shared" si="8"/>
        <v>2.2689498770655102E-3</v>
      </c>
      <c r="L36" s="2">
        <f t="shared" si="11"/>
        <v>0.50676972480860805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hidden="1" x14ac:dyDescent="0.25">
      <c r="A37" s="2">
        <f t="shared" si="9"/>
        <v>0.13000000000000003</v>
      </c>
      <c r="B37" s="2">
        <f t="shared" si="10"/>
        <v>760.4484120863217</v>
      </c>
      <c r="C37" s="2">
        <f t="shared" si="0"/>
        <v>1.3550399360055625</v>
      </c>
      <c r="D37" s="2">
        <f t="shared" si="1"/>
        <v>-0.17938219564534774</v>
      </c>
      <c r="E37" s="2">
        <f t="shared" si="2"/>
        <v>7.3252540431256147E-2</v>
      </c>
      <c r="F37" s="2">
        <f t="shared" si="3"/>
        <v>0.27800000000000002</v>
      </c>
      <c r="G37" s="2">
        <f t="shared" si="4"/>
        <v>-1.3816551330916396E-4</v>
      </c>
      <c r="H37" s="2">
        <f t="shared" si="5"/>
        <v>0.94318104719138451</v>
      </c>
      <c r="I37" s="2">
        <f t="shared" si="6"/>
        <v>-2.0316540109923151</v>
      </c>
      <c r="J37" s="2">
        <f t="shared" si="7"/>
        <v>0.85891946378786377</v>
      </c>
      <c r="K37" s="2">
        <f t="shared" si="8"/>
        <v>2.5144687810822524E-3</v>
      </c>
      <c r="L37" s="2">
        <f t="shared" si="11"/>
        <v>0.50928419358969035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hidden="1" x14ac:dyDescent="0.25">
      <c r="A38" s="2">
        <f t="shared" si="9"/>
        <v>0.13500000000000004</v>
      </c>
      <c r="B38" s="2">
        <f t="shared" si="10"/>
        <v>758.41675807532943</v>
      </c>
      <c r="C38" s="2">
        <f t="shared" si="0"/>
        <v>1.3514197399774222</v>
      </c>
      <c r="D38" s="2">
        <f t="shared" si="1"/>
        <v>-0.18047959149931786</v>
      </c>
      <c r="E38" s="2">
        <f t="shared" si="2"/>
        <v>7.2834460223315425E-2</v>
      </c>
      <c r="F38" s="2">
        <f t="shared" si="3"/>
        <v>0.27800000000000002</v>
      </c>
      <c r="G38" s="2">
        <f t="shared" si="4"/>
        <v>-1.3921998977557297E-4</v>
      </c>
      <c r="H38" s="2">
        <f t="shared" si="5"/>
        <v>0.94259403727459645</v>
      </c>
      <c r="I38" s="2">
        <f t="shared" si="6"/>
        <v>-1.9571459817330332</v>
      </c>
      <c r="J38" s="2">
        <f t="shared" si="7"/>
        <v>0.78236734660932306</v>
      </c>
      <c r="K38" s="2">
        <f t="shared" si="8"/>
        <v>2.7795617424945748E-3</v>
      </c>
      <c r="L38" s="2">
        <f t="shared" si="11"/>
        <v>0.51206375533218496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hidden="1" x14ac:dyDescent="0.25">
      <c r="A39" s="2">
        <f t="shared" si="9"/>
        <v>0.14000000000000004</v>
      </c>
      <c r="B39" s="2">
        <f t="shared" si="10"/>
        <v>756.45961209359643</v>
      </c>
      <c r="C39" s="2">
        <f t="shared" si="0"/>
        <v>1.3479323095039137</v>
      </c>
      <c r="D39" s="2">
        <f t="shared" si="1"/>
        <v>-0.18154356895502077</v>
      </c>
      <c r="E39" s="2">
        <f t="shared" si="2"/>
        <v>7.2424785483544973E-2</v>
      </c>
      <c r="F39" s="2">
        <f t="shared" si="3"/>
        <v>0.27800000000000002</v>
      </c>
      <c r="G39" s="2">
        <f t="shared" si="4"/>
        <v>-1.402433997927821E-4</v>
      </c>
      <c r="H39" s="2">
        <f t="shared" si="5"/>
        <v>0.94202242938508485</v>
      </c>
      <c r="I39" s="2">
        <f t="shared" si="6"/>
        <v>-1.8766116011815801</v>
      </c>
      <c r="J39" s="2">
        <f t="shared" si="7"/>
        <v>0.71474292054556077</v>
      </c>
      <c r="K39" s="2">
        <f t="shared" si="8"/>
        <v>3.0639255311119967E-3</v>
      </c>
      <c r="L39" s="2">
        <f t="shared" si="11"/>
        <v>0.51512768086329697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hidden="1" x14ac:dyDescent="0.25">
      <c r="A40" s="2">
        <f t="shared" si="9"/>
        <v>0.14500000000000005</v>
      </c>
      <c r="B40" s="2">
        <f t="shared" si="10"/>
        <v>754.58300049241484</v>
      </c>
      <c r="C40" s="2">
        <f t="shared" si="0"/>
        <v>1.3445883829159209</v>
      </c>
      <c r="D40" s="2">
        <f t="shared" si="1"/>
        <v>-0.18257011527600162</v>
      </c>
      <c r="E40" s="2">
        <f t="shared" si="2"/>
        <v>7.202547965698311E-2</v>
      </c>
      <c r="F40" s="2">
        <f t="shared" si="3"/>
        <v>0.27800000000000002</v>
      </c>
      <c r="G40" s="2">
        <f t="shared" si="4"/>
        <v>-1.4123178256526581E-4</v>
      </c>
      <c r="H40" s="2">
        <f t="shared" si="5"/>
        <v>0.94146862165152589</v>
      </c>
      <c r="I40" s="2">
        <f t="shared" si="6"/>
        <v>-1.7902306186282222</v>
      </c>
      <c r="J40" s="2">
        <f t="shared" si="7"/>
        <v>0.6551085796048447</v>
      </c>
      <c r="K40" s="2">
        <f t="shared" si="8"/>
        <v>3.3667714094037155E-3</v>
      </c>
      <c r="L40" s="2">
        <f t="shared" si="11"/>
        <v>0.51849445227270063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hidden="1" x14ac:dyDescent="0.25">
      <c r="A41" s="2">
        <f t="shared" si="9"/>
        <v>0.15000000000000005</v>
      </c>
      <c r="B41" s="2">
        <f t="shared" si="10"/>
        <v>752.7927698737866</v>
      </c>
      <c r="C41" s="2">
        <f t="shared" si="0"/>
        <v>1.3413983782497978</v>
      </c>
      <c r="D41" s="2">
        <f t="shared" si="1"/>
        <v>-0.18355525561910443</v>
      </c>
      <c r="E41" s="2">
        <f t="shared" si="2"/>
        <v>7.1638539976500423E-2</v>
      </c>
      <c r="F41" s="2">
        <f t="shared" si="3"/>
        <v>0.27800000000000002</v>
      </c>
      <c r="G41" s="2">
        <f t="shared" si="4"/>
        <v>-1.4218120206045809E-4</v>
      </c>
      <c r="H41" s="2">
        <f t="shared" si="5"/>
        <v>0.94093501879277275</v>
      </c>
      <c r="I41" s="2">
        <f t="shared" si="6"/>
        <v>-1.6983494658759304</v>
      </c>
      <c r="J41" s="2">
        <f t="shared" si="7"/>
        <v>0.60261858684338521</v>
      </c>
      <c r="K41" s="2">
        <f t="shared" si="8"/>
        <v>3.6867708243599846E-3</v>
      </c>
      <c r="L41" s="2">
        <f t="shared" si="11"/>
        <v>0.52218122309706061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hidden="1" x14ac:dyDescent="0.25">
      <c r="A42" s="2">
        <f t="shared" si="9"/>
        <v>0.15500000000000005</v>
      </c>
      <c r="B42" s="2">
        <f t="shared" si="10"/>
        <v>751.09442040791066</v>
      </c>
      <c r="C42" s="2">
        <f t="shared" si="0"/>
        <v>1.3383720962364765</v>
      </c>
      <c r="D42" s="2">
        <f t="shared" si="1"/>
        <v>-0.18449515680498368</v>
      </c>
      <c r="E42" s="2">
        <f t="shared" si="2"/>
        <v>7.1265949595430617E-2</v>
      </c>
      <c r="F42" s="2">
        <f t="shared" si="3"/>
        <v>0.27800000000000002</v>
      </c>
      <c r="G42" s="2">
        <f t="shared" si="4"/>
        <v>-1.4308784873367229E-4</v>
      </c>
      <c r="H42" s="2">
        <f t="shared" si="5"/>
        <v>0.9404239718137154</v>
      </c>
      <c r="I42" s="2">
        <f t="shared" si="6"/>
        <v>-1.6014937504900535</v>
      </c>
      <c r="J42" s="2">
        <f t="shared" si="7"/>
        <v>0.55651065868946104</v>
      </c>
      <c r="K42" s="2">
        <f t="shared" si="8"/>
        <v>4.0220243366140924E-3</v>
      </c>
      <c r="L42" s="2">
        <f t="shared" si="11"/>
        <v>0.52620324743367475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hidden="1" x14ac:dyDescent="0.25">
      <c r="A43" s="2">
        <f t="shared" si="9"/>
        <v>0.16000000000000006</v>
      </c>
      <c r="B43" s="2">
        <f t="shared" si="10"/>
        <v>749.49292665742064</v>
      </c>
      <c r="C43" s="2">
        <f t="shared" si="0"/>
        <v>1.3355184010289034</v>
      </c>
      <c r="D43" s="2">
        <f t="shared" si="1"/>
        <v>-0.18538624161928252</v>
      </c>
      <c r="E43" s="2">
        <f t="shared" si="2"/>
        <v>7.0909622835735805E-2</v>
      </c>
      <c r="F43" s="2">
        <f t="shared" si="3"/>
        <v>0.27800000000000002</v>
      </c>
      <c r="G43" s="2">
        <f t="shared" si="4"/>
        <v>-1.4394815206568079E-4</v>
      </c>
      <c r="H43" s="2">
        <f t="shared" si="5"/>
        <v>0.93993771045822849</v>
      </c>
      <c r="I43" s="2">
        <f t="shared" si="6"/>
        <v>-1.5003711409476526</v>
      </c>
      <c r="J43" s="2">
        <f t="shared" si="7"/>
        <v>0.51609824193229947</v>
      </c>
      <c r="K43" s="2">
        <f t="shared" si="8"/>
        <v>4.3700621629464411E-3</v>
      </c>
      <c r="L43" s="2">
        <f t="shared" si="11"/>
        <v>0.53057330959662119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hidden="1" x14ac:dyDescent="0.25">
      <c r="A44" s="2">
        <f t="shared" si="9"/>
        <v>0.16500000000000006</v>
      </c>
      <c r="B44" s="2">
        <f t="shared" si="10"/>
        <v>747.99255551647298</v>
      </c>
      <c r="C44" s="2">
        <f t="shared" si="0"/>
        <v>1.3328448957884407</v>
      </c>
      <c r="D44" s="2">
        <f t="shared" si="1"/>
        <v>-0.18622530783896829</v>
      </c>
      <c r="E44" s="2">
        <f t="shared" si="2"/>
        <v>7.0571346111614683E-2</v>
      </c>
      <c r="F44" s="2">
        <f t="shared" si="3"/>
        <v>0.27800000000000002</v>
      </c>
      <c r="G44" s="2">
        <f t="shared" si="4"/>
        <v>-1.4475889825040414E-4</v>
      </c>
      <c r="H44" s="2">
        <f t="shared" si="5"/>
        <v>0.93947827172696774</v>
      </c>
      <c r="I44" s="2">
        <f t="shared" si="6"/>
        <v>-1.3958623333487545</v>
      </c>
      <c r="J44" s="2">
        <f t="shared" si="7"/>
        <v>0.48076343820730605</v>
      </c>
      <c r="K44" s="2">
        <f t="shared" si="8"/>
        <v>4.7278829058070111E-3</v>
      </c>
      <c r="L44" s="2">
        <f t="shared" si="11"/>
        <v>0.53530119250242825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hidden="1" x14ac:dyDescent="0.25">
      <c r="A45" s="2">
        <f t="shared" si="9"/>
        <v>0.17000000000000007</v>
      </c>
      <c r="B45" s="2">
        <f t="shared" si="10"/>
        <v>746.59669318312422</v>
      </c>
      <c r="C45" s="2">
        <f t="shared" si="0"/>
        <v>1.3303576143676481</v>
      </c>
      <c r="D45" s="2">
        <f t="shared" si="1"/>
        <v>-0.18700964449931951</v>
      </c>
      <c r="E45" s="2">
        <f t="shared" si="2"/>
        <v>7.0252718049876942E-2</v>
      </c>
      <c r="F45" s="2">
        <f t="shared" si="3"/>
        <v>0.27800000000000002</v>
      </c>
      <c r="G45" s="2">
        <f t="shared" si="4"/>
        <v>-1.4551734567910989E-4</v>
      </c>
      <c r="H45" s="2">
        <f t="shared" si="5"/>
        <v>0.93904742884652814</v>
      </c>
      <c r="I45" s="2">
        <f t="shared" si="6"/>
        <v>-1.2889988053247756</v>
      </c>
      <c r="J45" s="2">
        <f t="shared" si="7"/>
        <v>0.44995053516046218</v>
      </c>
      <c r="K45" s="2">
        <f t="shared" si="8"/>
        <v>5.0920336548273557E-3</v>
      </c>
      <c r="L45" s="2">
        <f t="shared" si="11"/>
        <v>0.5403932261572556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hidden="1" x14ac:dyDescent="0.25">
      <c r="A46" s="2">
        <f t="shared" si="9"/>
        <v>0.17500000000000007</v>
      </c>
      <c r="B46" s="2">
        <f t="shared" si="10"/>
        <v>745.30769437779941</v>
      </c>
      <c r="C46" s="2">
        <f t="shared" si="0"/>
        <v>1.3280607526332846</v>
      </c>
      <c r="D46" s="2">
        <f t="shared" si="1"/>
        <v>-0.18773713684105944</v>
      </c>
      <c r="E46" s="2">
        <f t="shared" si="2"/>
        <v>6.9955093032751506E-2</v>
      </c>
      <c r="F46" s="2">
        <f t="shared" si="3"/>
        <v>0.27800000000000002</v>
      </c>
      <c r="G46" s="2">
        <f t="shared" si="4"/>
        <v>-1.4622132976249027E-4</v>
      </c>
      <c r="H46" s="2">
        <f t="shared" si="5"/>
        <v>0.93864662581650293</v>
      </c>
      <c r="I46" s="2">
        <f t="shared" si="6"/>
        <v>-1.1809275421340175</v>
      </c>
      <c r="J46" s="2">
        <f t="shared" si="7"/>
        <v>0.4231601068975574</v>
      </c>
      <c r="K46" s="2">
        <f t="shared" si="8"/>
        <v>5.4587299125401587E-3</v>
      </c>
      <c r="L46" s="2">
        <f t="shared" si="11"/>
        <v>0.54585195606979575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hidden="1" x14ac:dyDescent="0.25">
      <c r="A47" s="2">
        <f t="shared" si="9"/>
        <v>0.18000000000000008</v>
      </c>
      <c r="B47" s="2">
        <f t="shared" si="10"/>
        <v>744.12676683566542</v>
      </c>
      <c r="C47" s="2">
        <f t="shared" si="0"/>
        <v>1.3259564626437372</v>
      </c>
      <c r="D47" s="2">
        <f t="shared" si="1"/>
        <v>-0.18840635123216407</v>
      </c>
      <c r="E47" s="2">
        <f t="shared" si="2"/>
        <v>6.9679532652888274E-2</v>
      </c>
      <c r="F47" s="2">
        <f t="shared" si="3"/>
        <v>0.27800000000000002</v>
      </c>
      <c r="G47" s="2">
        <f t="shared" si="4"/>
        <v>-1.4686934844224011E-4</v>
      </c>
      <c r="H47" s="2">
        <f t="shared" si="5"/>
        <v>0.9382769228541662</v>
      </c>
      <c r="I47" s="2">
        <f t="shared" si="6"/>
        <v>-1.0728646644492743</v>
      </c>
      <c r="J47" s="2">
        <f t="shared" si="7"/>
        <v>0.39994364850667768</v>
      </c>
      <c r="K47" s="2">
        <f t="shared" si="8"/>
        <v>5.8240083793430208E-3</v>
      </c>
      <c r="L47" s="2">
        <f t="shared" si="11"/>
        <v>0.5516759644491388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hidden="1" x14ac:dyDescent="0.25">
      <c r="A48" s="2">
        <f t="shared" si="9"/>
        <v>0.18500000000000008</v>
      </c>
      <c r="B48" s="2">
        <f t="shared" si="10"/>
        <v>743.05390217121612</v>
      </c>
      <c r="C48" s="2">
        <f t="shared" si="0"/>
        <v>1.3240447294569067</v>
      </c>
      <c r="D48" s="2">
        <f t="shared" si="1"/>
        <v>-0.18901659235431745</v>
      </c>
      <c r="E48" s="2">
        <f t="shared" si="2"/>
        <v>6.9426769262289342E-2</v>
      </c>
      <c r="F48" s="2">
        <f t="shared" si="3"/>
        <v>0.27800000000000002</v>
      </c>
      <c r="G48" s="2">
        <f t="shared" si="4"/>
        <v>-1.4746062068306771E-4</v>
      </c>
      <c r="H48" s="2">
        <f t="shared" si="5"/>
        <v>0.93793895756175372</v>
      </c>
      <c r="I48" s="2">
        <f t="shared" si="6"/>
        <v>-0.96604158047654043</v>
      </c>
      <c r="J48" s="2">
        <f t="shared" si="7"/>
        <v>0.3798987102214425</v>
      </c>
      <c r="K48" s="2">
        <f t="shared" si="8"/>
        <v>6.1839005312150346E-3</v>
      </c>
      <c r="L48" s="2">
        <f t="shared" si="11"/>
        <v>0.55785986498035378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hidden="1" x14ac:dyDescent="0.25">
      <c r="A49" s="2">
        <f t="shared" si="9"/>
        <v>0.19000000000000009</v>
      </c>
      <c r="B49" s="2">
        <f t="shared" si="10"/>
        <v>742.08786059073964</v>
      </c>
      <c r="C49" s="2">
        <f t="shared" si="0"/>
        <v>1.3223233438894149</v>
      </c>
      <c r="D49" s="2">
        <f t="shared" si="1"/>
        <v>-0.18956792708632403</v>
      </c>
      <c r="E49" s="2">
        <f t="shared" si="2"/>
        <v>6.9197184883749152E-2</v>
      </c>
      <c r="F49" s="2">
        <f t="shared" si="3"/>
        <v>0.27800000000000002</v>
      </c>
      <c r="G49" s="2">
        <f t="shared" si="4"/>
        <v>-1.4799511231804611E-4</v>
      </c>
      <c r="H49" s="2">
        <f t="shared" si="5"/>
        <v>0.93763292543835486</v>
      </c>
      <c r="I49" s="2">
        <f t="shared" si="6"/>
        <v>-0.86164856099541531</v>
      </c>
      <c r="J49" s="2">
        <f t="shared" si="7"/>
        <v>0.36266449625556679</v>
      </c>
      <c r="K49" s="2">
        <f t="shared" si="8"/>
        <v>6.5346112542214478E-3</v>
      </c>
      <c r="L49" s="2">
        <f t="shared" si="11"/>
        <v>0.56439447623457528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hidden="1" x14ac:dyDescent="0.25">
      <c r="A50" s="2">
        <f t="shared" si="9"/>
        <v>0.19500000000000009</v>
      </c>
      <c r="B50" s="2">
        <f t="shared" si="10"/>
        <v>741.22621202974426</v>
      </c>
      <c r="C50" s="2">
        <f t="shared" si="0"/>
        <v>1.3207879758192163</v>
      </c>
      <c r="D50" s="2">
        <f t="shared" si="1"/>
        <v>-0.19006117256843091</v>
      </c>
      <c r="E50" s="2">
        <f t="shared" si="2"/>
        <v>6.8990807328484741E-2</v>
      </c>
      <c r="F50" s="2">
        <f t="shared" si="3"/>
        <v>0.27800000000000002</v>
      </c>
      <c r="G50" s="2">
        <f t="shared" si="4"/>
        <v>-1.4847352661586142E-4</v>
      </c>
      <c r="H50" s="2">
        <f t="shared" si="5"/>
        <v>0.9373585815763239</v>
      </c>
      <c r="I50" s="2">
        <f t="shared" si="6"/>
        <v>-0.76078118290122598</v>
      </c>
      <c r="J50" s="2">
        <f t="shared" si="7"/>
        <v>0.34791789186971567</v>
      </c>
      <c r="K50" s="2">
        <f t="shared" si="8"/>
        <v>6.8726854761476421E-3</v>
      </c>
      <c r="L50" s="2">
        <f t="shared" si="11"/>
        <v>0.57126716171072289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hidden="1" x14ac:dyDescent="0.25">
      <c r="A51" s="2">
        <f t="shared" si="9"/>
        <v>0.20000000000000009</v>
      </c>
      <c r="B51" s="2">
        <f t="shared" si="10"/>
        <v>740.46543084684299</v>
      </c>
      <c r="C51" s="2">
        <f t="shared" si="0"/>
        <v>1.3194323429202475</v>
      </c>
      <c r="D51" s="2">
        <f t="shared" si="1"/>
        <v>-0.19049784943767489</v>
      </c>
      <c r="E51" s="2">
        <f t="shared" si="2"/>
        <v>6.8807323639707235E-2</v>
      </c>
      <c r="F51" s="2">
        <f t="shared" si="3"/>
        <v>0.27800000000000002</v>
      </c>
      <c r="G51" s="2">
        <f t="shared" si="4"/>
        <v>-1.4889726040131197E-4</v>
      </c>
      <c r="H51" s="2">
        <f t="shared" si="5"/>
        <v>0.93711526328669181</v>
      </c>
      <c r="I51" s="2">
        <f t="shared" si="6"/>
        <v>-0.6643947489164691</v>
      </c>
      <c r="J51" s="2">
        <f t="shared" si="7"/>
        <v>0.33536988046987526</v>
      </c>
      <c r="K51" s="2">
        <f t="shared" si="8"/>
        <v>7.1951471665933058E-3</v>
      </c>
      <c r="L51" s="2">
        <f t="shared" si="11"/>
        <v>0.5784623088773162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hidden="1" x14ac:dyDescent="0.25">
      <c r="A52" s="2">
        <f t="shared" si="9"/>
        <v>0.2050000000000001</v>
      </c>
      <c r="B52" s="2">
        <f t="shared" si="10"/>
        <v>739.8010360979265</v>
      </c>
      <c r="C52" s="2">
        <f t="shared" si="0"/>
        <v>1.3182484606164049</v>
      </c>
      <c r="D52" s="2">
        <f t="shared" si="1"/>
        <v>-0.19088010460998106</v>
      </c>
      <c r="E52" s="2">
        <f t="shared" si="2"/>
        <v>6.8646109245939529E-2</v>
      </c>
      <c r="F52" s="2">
        <f t="shared" si="3"/>
        <v>0.27800000000000002</v>
      </c>
      <c r="G52" s="2">
        <f t="shared" si="4"/>
        <v>-1.4926832992136695E-4</v>
      </c>
      <c r="H52" s="2">
        <f t="shared" si="5"/>
        <v>0.93690193133530697</v>
      </c>
      <c r="I52" s="2">
        <f t="shared" si="6"/>
        <v>-0.57327062635714621</v>
      </c>
      <c r="J52" s="2">
        <f t="shared" si="7"/>
        <v>0.32476231124528959</v>
      </c>
      <c r="K52" s="2">
        <f t="shared" si="8"/>
        <v>7.4995990078206435E-3</v>
      </c>
      <c r="L52" s="2">
        <f t="shared" si="11"/>
        <v>0.5859619078851368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hidden="1" x14ac:dyDescent="0.25">
      <c r="A53" s="2">
        <f t="shared" si="9"/>
        <v>0.2100000000000001</v>
      </c>
      <c r="B53" s="2">
        <f t="shared" si="10"/>
        <v>739.22776547156934</v>
      </c>
      <c r="C53" s="2">
        <f t="shared" si="0"/>
        <v>1.3172269520163387</v>
      </c>
      <c r="D53" s="2">
        <f t="shared" si="1"/>
        <v>-0.19121061069436607</v>
      </c>
      <c r="E53" s="2">
        <f t="shared" si="2"/>
        <v>6.8506269750696111E-2</v>
      </c>
      <c r="F53" s="2">
        <f t="shared" si="3"/>
        <v>0.27800000000000002</v>
      </c>
      <c r="G53" s="2">
        <f t="shared" si="4"/>
        <v>-1.4958927335537669E-4</v>
      </c>
      <c r="H53" s="2">
        <f t="shared" si="5"/>
        <v>0.93671722578304606</v>
      </c>
      <c r="I53" s="2">
        <f t="shared" si="6"/>
        <v>-0.48799671527918431</v>
      </c>
      <c r="J53" s="2">
        <f t="shared" si="7"/>
        <v>0.31586497772538269</v>
      </c>
      <c r="K53" s="2">
        <f t="shared" si="8"/>
        <v>7.7842766123757444E-3</v>
      </c>
      <c r="L53" s="2">
        <f t="shared" si="11"/>
        <v>0.5937461844975126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hidden="1" x14ac:dyDescent="0.25">
      <c r="A54" s="2">
        <f t="shared" si="9"/>
        <v>0.21500000000000011</v>
      </c>
      <c r="B54" s="2">
        <f t="shared" si="10"/>
        <v>738.73976875629012</v>
      </c>
      <c r="C54" s="2">
        <f t="shared" si="0"/>
        <v>1.316357392651978</v>
      </c>
      <c r="D54" s="2">
        <f t="shared" si="1"/>
        <v>-0.19149245075884705</v>
      </c>
      <c r="E54" s="2">
        <f t="shared" si="2"/>
        <v>6.838669132875122E-2</v>
      </c>
      <c r="F54" s="2">
        <f t="shared" si="3"/>
        <v>0.27800000000000002</v>
      </c>
      <c r="G54" s="2">
        <f t="shared" si="4"/>
        <v>-1.4986303851898122E-4</v>
      </c>
      <c r="H54" s="2">
        <f t="shared" si="5"/>
        <v>0.9365595313622167</v>
      </c>
      <c r="I54" s="2">
        <f t="shared" si="6"/>
        <v>-0.4089623354200756</v>
      </c>
      <c r="J54" s="2">
        <f t="shared" si="7"/>
        <v>0.30847296910365529</v>
      </c>
      <c r="K54" s="2">
        <f t="shared" si="8"/>
        <v>8.0480571832203078E-3</v>
      </c>
      <c r="L54" s="2">
        <f t="shared" si="11"/>
        <v>0.60179424168073292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hidden="1" x14ac:dyDescent="0.25">
      <c r="A55" s="2">
        <f t="shared" si="9"/>
        <v>0.22000000000000011</v>
      </c>
      <c r="B55" s="2">
        <f t="shared" si="10"/>
        <v>738.33080642087009</v>
      </c>
      <c r="C55" s="2">
        <f t="shared" si="0"/>
        <v>1.3156286643279937</v>
      </c>
      <c r="D55" s="2">
        <f t="shared" si="1"/>
        <v>-0.19172899756957335</v>
      </c>
      <c r="E55" s="2">
        <f t="shared" si="2"/>
        <v>6.8286095347487821E-2</v>
      </c>
      <c r="F55" s="2">
        <f t="shared" si="3"/>
        <v>0.27800000000000002</v>
      </c>
      <c r="G55" s="2">
        <f t="shared" si="4"/>
        <v>-1.5009286474543633E-4</v>
      </c>
      <c r="H55" s="2">
        <f t="shared" si="5"/>
        <v>0.93642704699575119</v>
      </c>
      <c r="I55" s="2">
        <f t="shared" si="6"/>
        <v>-0.33636609651953853</v>
      </c>
      <c r="J55" s="2">
        <f t="shared" si="7"/>
        <v>0.30240425930484993</v>
      </c>
      <c r="K55" s="2">
        <f t="shared" si="8"/>
        <v>8.2904277994961337E-3</v>
      </c>
      <c r="L55" s="2">
        <f t="shared" si="11"/>
        <v>0.6100846694802291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hidden="1" x14ac:dyDescent="0.25">
      <c r="A56" s="2">
        <f t="shared" si="9"/>
        <v>0.22500000000000012</v>
      </c>
      <c r="B56" s="2">
        <f t="shared" si="10"/>
        <v>737.99444032435053</v>
      </c>
      <c r="C56" s="2">
        <f t="shared" si="0"/>
        <v>1.3150292949471676</v>
      </c>
      <c r="D56" s="2">
        <f t="shared" si="1"/>
        <v>-0.19192379569094525</v>
      </c>
      <c r="E56" s="2">
        <f t="shared" si="2"/>
        <v>6.8203093058852082E-2</v>
      </c>
      <c r="F56" s="2">
        <f t="shared" si="3"/>
        <v>0.27800000000000002</v>
      </c>
      <c r="G56" s="2">
        <f t="shared" si="4"/>
        <v>-1.5028216723570289E-4</v>
      </c>
      <c r="H56" s="2">
        <f t="shared" si="5"/>
        <v>0.93631785443012006</v>
      </c>
      <c r="I56" s="2">
        <f t="shared" si="6"/>
        <v>-0.2702340732884847</v>
      </c>
      <c r="J56" s="2">
        <f t="shared" si="7"/>
        <v>0.2974975032523281</v>
      </c>
      <c r="K56" s="2">
        <f t="shared" si="8"/>
        <v>8.5114222185090679E-3</v>
      </c>
      <c r="L56" s="2">
        <f t="shared" si="11"/>
        <v>0.61859609169873819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hidden="1" x14ac:dyDescent="0.25">
      <c r="A57" s="2">
        <f t="shared" si="9"/>
        <v>0.23000000000000012</v>
      </c>
      <c r="B57" s="2">
        <f t="shared" si="10"/>
        <v>737.72420625106201</v>
      </c>
      <c r="C57" s="2">
        <f t="shared" si="0"/>
        <v>1.314547765949861</v>
      </c>
      <c r="D57" s="2">
        <f t="shared" si="1"/>
        <v>-0.19208045325632186</v>
      </c>
      <c r="E57" s="2">
        <f t="shared" si="2"/>
        <v>6.8136236883162171E-2</v>
      </c>
      <c r="F57" s="2">
        <f t="shared" si="3"/>
        <v>0.27800000000000002</v>
      </c>
      <c r="G57" s="2">
        <f t="shared" si="4"/>
        <v>-1.5043443063421439E-4</v>
      </c>
      <c r="H57" s="2">
        <f t="shared" si="5"/>
        <v>0.93622998184032336</v>
      </c>
      <c r="I57" s="2">
        <f t="shared" si="6"/>
        <v>-0.2104449739453581</v>
      </c>
      <c r="J57" s="2">
        <f t="shared" si="7"/>
        <v>0.29361001505402506</v>
      </c>
      <c r="K57" s="2">
        <f t="shared" si="8"/>
        <v>8.7115368569795747E-3</v>
      </c>
      <c r="L57" s="2">
        <f t="shared" si="11"/>
        <v>0.62730762855571776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hidden="1" x14ac:dyDescent="0.25">
      <c r="A58" s="2">
        <f t="shared" si="9"/>
        <v>0.23500000000000013</v>
      </c>
      <c r="B58" s="2">
        <f t="shared" si="10"/>
        <v>737.5137612771166</v>
      </c>
      <c r="C58" s="2">
        <f t="shared" si="0"/>
        <v>1.3141727749057672</v>
      </c>
      <c r="D58" s="2">
        <f t="shared" si="1"/>
        <v>-0.1922025481827237</v>
      </c>
      <c r="E58" s="2">
        <f t="shared" si="2"/>
        <v>6.8084065744593678E-2</v>
      </c>
      <c r="F58" s="2">
        <f t="shared" si="3"/>
        <v>0.27800000000000002</v>
      </c>
      <c r="G58" s="2">
        <f t="shared" si="4"/>
        <v>-1.5055311659134605E-4</v>
      </c>
      <c r="H58" s="2">
        <f t="shared" si="5"/>
        <v>0.93616145944724327</v>
      </c>
      <c r="I58" s="2">
        <f t="shared" si="6"/>
        <v>-0.1567589440598752</v>
      </c>
      <c r="J58" s="2">
        <f t="shared" si="7"/>
        <v>0.29061590819938005</v>
      </c>
      <c r="K58" s="2">
        <f t="shared" si="8"/>
        <v>8.8916365735957487E-3</v>
      </c>
      <c r="L58" s="2">
        <f t="shared" si="11"/>
        <v>0.63619926512931346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hidden="1" x14ac:dyDescent="0.25">
      <c r="A59" s="2">
        <f t="shared" si="9"/>
        <v>0.24000000000000013</v>
      </c>
      <c r="B59" s="2">
        <f t="shared" si="10"/>
        <v>737.3570023330567</v>
      </c>
      <c r="C59" s="2">
        <f t="shared" si="0"/>
        <v>1.313893446780215</v>
      </c>
      <c r="D59" s="2">
        <f t="shared" si="1"/>
        <v>-0.19229355148813107</v>
      </c>
      <c r="E59" s="2">
        <f t="shared" si="2"/>
        <v>6.8045142930027211E-2</v>
      </c>
      <c r="F59" s="2">
        <f t="shared" si="3"/>
        <v>0.27800000000000002</v>
      </c>
      <c r="G59" s="2">
        <f t="shared" si="4"/>
        <v>-1.5064158799171312E-4</v>
      </c>
      <c r="H59" s="2">
        <f t="shared" si="5"/>
        <v>0.93611036543571635</v>
      </c>
      <c r="I59" s="2">
        <f t="shared" si="6"/>
        <v>-0.10884704910350872</v>
      </c>
      <c r="J59" s="2">
        <f t="shared" si="7"/>
        <v>0.28840438274756203</v>
      </c>
      <c r="K59" s="2">
        <f t="shared" si="8"/>
        <v>9.0528594717857232E-3</v>
      </c>
      <c r="L59" s="2">
        <f t="shared" si="11"/>
        <v>0.64525212460109915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hidden="1" x14ac:dyDescent="0.25">
      <c r="A60" s="2">
        <f t="shared" si="9"/>
        <v>0.24500000000000013</v>
      </c>
      <c r="B60" s="2">
        <f t="shared" si="10"/>
        <v>737.24815528395322</v>
      </c>
      <c r="C60" s="2">
        <f t="shared" si="0"/>
        <v>1.3136994926656329</v>
      </c>
      <c r="D60" s="2">
        <f t="shared" si="1"/>
        <v>-0.19235676847439315</v>
      </c>
      <c r="E60" s="2">
        <f t="shared" si="2"/>
        <v>6.8018085874353221E-2</v>
      </c>
      <c r="F60" s="2">
        <f t="shared" si="3"/>
        <v>0.27800000000000002</v>
      </c>
      <c r="G60" s="2">
        <f t="shared" si="4"/>
        <v>-1.5070305065543666E-4</v>
      </c>
      <c r="H60" s="2">
        <f t="shared" si="5"/>
        <v>0.93607486159393105</v>
      </c>
      <c r="I60" s="2">
        <f t="shared" si="6"/>
        <v>-6.6319145083645156E-2</v>
      </c>
      <c r="J60" s="2">
        <f t="shared" si="7"/>
        <v>0.28687814847344661</v>
      </c>
      <c r="K60" s="2">
        <f t="shared" si="8"/>
        <v>9.1965277622334182E-3</v>
      </c>
      <c r="L60" s="2">
        <f t="shared" si="11"/>
        <v>0.65444865236333261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hidden="1" x14ac:dyDescent="0.25">
      <c r="A61" s="2">
        <f t="shared" si="9"/>
        <v>0.25000000000000011</v>
      </c>
      <c r="B61" s="2">
        <f t="shared" si="10"/>
        <v>737.18183613886958</v>
      </c>
      <c r="C61" s="2">
        <f t="shared" si="0"/>
        <v>1.3135813188504446</v>
      </c>
      <c r="D61" s="2">
        <f t="shared" si="1"/>
        <v>-0.19239529704388333</v>
      </c>
      <c r="E61" s="2">
        <f t="shared" si="2"/>
        <v>6.8001588028306914E-2</v>
      </c>
      <c r="F61" s="2">
        <f t="shared" si="3"/>
        <v>0.27800000000000002</v>
      </c>
      <c r="G61" s="2">
        <f t="shared" si="4"/>
        <v>-1.5074051183878523E-4</v>
      </c>
      <c r="H61" s="2">
        <f t="shared" si="5"/>
        <v>0.93605321899788596</v>
      </c>
      <c r="I61" s="2">
        <f t="shared" si="6"/>
        <v>-2.8748599775457191E-2</v>
      </c>
      <c r="J61" s="2">
        <f t="shared" si="7"/>
        <v>0.2859519758334656</v>
      </c>
      <c r="K61" s="2">
        <f t="shared" si="8"/>
        <v>9.3240693195546093E-3</v>
      </c>
      <c r="L61" s="2">
        <f t="shared" si="11"/>
        <v>0.66377272168288726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hidden="1" x14ac:dyDescent="0.25">
      <c r="A62" s="2">
        <f t="shared" si="9"/>
        <v>0.25500000000000012</v>
      </c>
      <c r="B62" s="2">
        <f t="shared" si="10"/>
        <v>737.15308753909414</v>
      </c>
      <c r="C62" s="2">
        <f t="shared" si="0"/>
        <v>1.3135300918373023</v>
      </c>
      <c r="D62" s="2">
        <f t="shared" si="1"/>
        <v>-0.19241200139107223</v>
      </c>
      <c r="E62" s="2">
        <f t="shared" si="2"/>
        <v>6.7994433498223886E-2</v>
      </c>
      <c r="F62" s="2">
        <f t="shared" si="3"/>
        <v>0.27800000000000002</v>
      </c>
      <c r="G62" s="2">
        <f t="shared" si="4"/>
        <v>-1.5075675383948499E-4</v>
      </c>
      <c r="H62" s="2">
        <f t="shared" si="5"/>
        <v>0.93604383469400421</v>
      </c>
      <c r="I62" s="2">
        <f t="shared" si="6"/>
        <v>4.3069675742895865E-3</v>
      </c>
      <c r="J62" s="2">
        <f t="shared" si="7"/>
        <v>0.28555136843524614</v>
      </c>
      <c r="K62" s="2">
        <f t="shared" si="8"/>
        <v>9.43695234845854E-3</v>
      </c>
      <c r="L62" s="2">
        <f t="shared" si="11"/>
        <v>0.67320967403134579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hidden="1" x14ac:dyDescent="0.25">
      <c r="A63" s="2">
        <f t="shared" si="9"/>
        <v>0.26000000000000012</v>
      </c>
      <c r="B63" s="2">
        <f t="shared" si="10"/>
        <v>737.15739450666842</v>
      </c>
      <c r="C63" s="2">
        <f t="shared" si="0"/>
        <v>1.3135377664053249</v>
      </c>
      <c r="D63" s="2">
        <f t="shared" si="1"/>
        <v>-0.19240949872956403</v>
      </c>
      <c r="E63" s="2">
        <f t="shared" si="2"/>
        <v>6.7995505464916992E-2</v>
      </c>
      <c r="F63" s="2">
        <f t="shared" si="3"/>
        <v>0.27800000000000002</v>
      </c>
      <c r="G63" s="2">
        <f t="shared" si="4"/>
        <v>-1.5075432043073884E-4</v>
      </c>
      <c r="H63" s="2">
        <f t="shared" si="5"/>
        <v>0.93604524069787964</v>
      </c>
      <c r="I63" s="2">
        <f t="shared" si="6"/>
        <v>3.3289183193381901E-2</v>
      </c>
      <c r="J63" s="2">
        <f t="shared" si="7"/>
        <v>0.2856113516056627</v>
      </c>
      <c r="K63" s="2">
        <f t="shared" si="8"/>
        <v>9.5366337814080937E-3</v>
      </c>
      <c r="L63" s="2">
        <f t="shared" si="11"/>
        <v>0.68274630781275392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hidden="1" x14ac:dyDescent="0.25">
      <c r="A64" s="2">
        <f t="shared" si="9"/>
        <v>0.26500000000000012</v>
      </c>
      <c r="B64" s="2">
        <f t="shared" si="10"/>
        <v>737.19068368986177</v>
      </c>
      <c r="C64" s="2">
        <f t="shared" si="0"/>
        <v>1.3135970842656124</v>
      </c>
      <c r="D64" s="2">
        <f t="shared" si="1"/>
        <v>-0.19239015650488778</v>
      </c>
      <c r="E64" s="2">
        <f t="shared" si="2"/>
        <v>6.8003789524055253E-2</v>
      </c>
      <c r="F64" s="2">
        <f t="shared" si="3"/>
        <v>0.27800000000000002</v>
      </c>
      <c r="G64" s="2">
        <f t="shared" si="4"/>
        <v>-1.5073551363266004E-4</v>
      </c>
      <c r="H64" s="2">
        <f t="shared" si="5"/>
        <v>0.9360561067704507</v>
      </c>
      <c r="I64" s="2">
        <f t="shared" si="6"/>
        <v>5.8626489970828602E-2</v>
      </c>
      <c r="J64" s="2">
        <f t="shared" si="7"/>
        <v>0.28607537188809024</v>
      </c>
      <c r="K64" s="2">
        <f t="shared" si="8"/>
        <v>9.6245207485361368E-3</v>
      </c>
      <c r="L64" s="2">
        <f t="shared" si="11"/>
        <v>0.69237082856129006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hidden="1" x14ac:dyDescent="0.25">
      <c r="A65" s="2">
        <f t="shared" si="9"/>
        <v>0.27000000000000013</v>
      </c>
      <c r="B65" s="2">
        <f t="shared" si="10"/>
        <v>737.24931017983261</v>
      </c>
      <c r="C65" s="2">
        <f t="shared" si="0"/>
        <v>1.3137015505699083</v>
      </c>
      <c r="D65" s="2">
        <f t="shared" si="1"/>
        <v>-0.19235609760506686</v>
      </c>
      <c r="E65" s="2">
        <f t="shared" si="2"/>
        <v>6.8018373088727144E-2</v>
      </c>
      <c r="F65" s="2">
        <f t="shared" si="3"/>
        <v>0.27800000000000002</v>
      </c>
      <c r="G65" s="2">
        <f t="shared" si="4"/>
        <v>-1.5070239838387313E-4</v>
      </c>
      <c r="H65" s="2">
        <f t="shared" si="5"/>
        <v>0.93607523841197771</v>
      </c>
      <c r="I65" s="2">
        <f t="shared" si="6"/>
        <v>8.0725367671881418E-2</v>
      </c>
      <c r="J65" s="2">
        <f t="shared" si="7"/>
        <v>0.28689430211093858</v>
      </c>
      <c r="K65" s="2">
        <f t="shared" si="8"/>
        <v>9.7019436681844255E-3</v>
      </c>
      <c r="L65" s="2">
        <f t="shared" si="11"/>
        <v>0.70207277222947451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hidden="1" x14ac:dyDescent="0.25">
      <c r="A66" s="2">
        <f t="shared" si="9"/>
        <v>0.27500000000000013</v>
      </c>
      <c r="B66" s="2">
        <f t="shared" si="10"/>
        <v>737.33003554750451</v>
      </c>
      <c r="C66" s="2">
        <f t="shared" si="0"/>
        <v>1.3138453947745981</v>
      </c>
      <c r="D66" s="2">
        <f t="shared" si="1"/>
        <v>-0.19230921131737977</v>
      </c>
      <c r="E66" s="2">
        <f t="shared" si="2"/>
        <v>6.8038441902915317E-2</v>
      </c>
      <c r="F66" s="2">
        <f t="shared" si="3"/>
        <v>0.27800000000000002</v>
      </c>
      <c r="G66" s="2">
        <f t="shared" si="4"/>
        <v>-1.5065681290363662E-4</v>
      </c>
      <c r="H66" s="2">
        <f t="shared" si="5"/>
        <v>0.93610157138649974</v>
      </c>
      <c r="I66" s="2">
        <f t="shared" si="6"/>
        <v>9.9964643602536443E-2</v>
      </c>
      <c r="J66" s="2">
        <f t="shared" si="7"/>
        <v>0.28802554627444998</v>
      </c>
      <c r="K66" s="2">
        <f t="shared" si="8"/>
        <v>9.7701391183714903E-3</v>
      </c>
      <c r="L66" s="2">
        <f t="shared" si="11"/>
        <v>0.71184291134784594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hidden="1" x14ac:dyDescent="0.25">
      <c r="A67" s="2">
        <f t="shared" si="9"/>
        <v>0.28000000000000014</v>
      </c>
      <c r="B67" s="2">
        <f t="shared" si="10"/>
        <v>737.43000019110707</v>
      </c>
      <c r="C67" s="2">
        <f t="shared" si="0"/>
        <v>1.3140235213669049</v>
      </c>
      <c r="D67" s="2">
        <f t="shared" si="1"/>
        <v>-0.19225116810829959</v>
      </c>
      <c r="E67" s="2">
        <f t="shared" si="2"/>
        <v>6.8063274572675247E-2</v>
      </c>
      <c r="F67" s="2">
        <f t="shared" si="3"/>
        <v>0.27800000000000002</v>
      </c>
      <c r="G67" s="2">
        <f t="shared" si="4"/>
        <v>-1.5060038285461466E-4</v>
      </c>
      <c r="H67" s="2">
        <f t="shared" si="5"/>
        <v>0.93613416390408422</v>
      </c>
      <c r="I67" s="2">
        <f t="shared" si="6"/>
        <v>0.11669229807038158</v>
      </c>
      <c r="J67" s="2">
        <f t="shared" si="7"/>
        <v>0.28943223806922341</v>
      </c>
      <c r="K67" s="2">
        <f t="shared" si="8"/>
        <v>9.8302405591447622E-3</v>
      </c>
      <c r="L67" s="2">
        <f t="shared" si="11"/>
        <v>0.72167315190699066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hidden="1" x14ac:dyDescent="0.25">
      <c r="A68" s="2">
        <f t="shared" si="9"/>
        <v>0.28500000000000014</v>
      </c>
      <c r="B68" s="2">
        <f t="shared" si="10"/>
        <v>737.54669248917742</v>
      </c>
      <c r="C68" s="2">
        <f t="shared" si="0"/>
        <v>1.3142314548987479</v>
      </c>
      <c r="D68" s="2">
        <f t="shared" si="1"/>
        <v>-0.19218343666233581</v>
      </c>
      <c r="E68" s="2">
        <f t="shared" si="2"/>
        <v>6.8092235860674977E-2</v>
      </c>
      <c r="F68" s="2">
        <f t="shared" si="3"/>
        <v>0.27800000000000002</v>
      </c>
      <c r="G68" s="2">
        <f t="shared" si="4"/>
        <v>-1.5053453776703819E-4</v>
      </c>
      <c r="H68" s="2">
        <f t="shared" si="5"/>
        <v>0.93617218738236863</v>
      </c>
      <c r="I68" s="2">
        <f t="shared" si="6"/>
        <v>0.13122419577929065</v>
      </c>
      <c r="J68" s="2">
        <f t="shared" si="7"/>
        <v>0.29108252647867611</v>
      </c>
      <c r="K68" s="2">
        <f t="shared" si="8"/>
        <v>9.8832750805235778E-3</v>
      </c>
      <c r="L68" s="2">
        <f t="shared" si="11"/>
        <v>0.73155642698751422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hidden="1" x14ac:dyDescent="0.25">
      <c r="A69" s="2">
        <f t="shared" si="9"/>
        <v>0.29000000000000015</v>
      </c>
      <c r="B69" s="2">
        <f t="shared" si="10"/>
        <v>737.6779166849567</v>
      </c>
      <c r="C69" s="2">
        <f t="shared" si="0"/>
        <v>1.3144652827600796</v>
      </c>
      <c r="D69" s="2">
        <f t="shared" si="1"/>
        <v>-0.19210730196268477</v>
      </c>
      <c r="E69" s="2">
        <f t="shared" si="2"/>
        <v>6.8124769330496063E-2</v>
      </c>
      <c r="F69" s="2">
        <f t="shared" si="3"/>
        <v>0.27800000000000002</v>
      </c>
      <c r="G69" s="2">
        <f t="shared" si="4"/>
        <v>-1.5046052852512207E-4</v>
      </c>
      <c r="H69" s="2">
        <f t="shared" si="5"/>
        <v>0.93621491650786781</v>
      </c>
      <c r="I69" s="2">
        <f t="shared" si="6"/>
        <v>0.14384423778360361</v>
      </c>
      <c r="J69" s="2">
        <f t="shared" si="7"/>
        <v>0.29294894169003477</v>
      </c>
      <c r="K69" s="2">
        <f t="shared" si="8"/>
        <v>9.9301645655448662E-3</v>
      </c>
      <c r="L69" s="2">
        <f t="shared" si="11"/>
        <v>0.74148659155305907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hidden="1" x14ac:dyDescent="0.25">
      <c r="A70" s="2">
        <f t="shared" si="9"/>
        <v>0.29500000000000015</v>
      </c>
      <c r="B70" s="2">
        <f t="shared" si="10"/>
        <v>737.82176092274028</v>
      </c>
      <c r="C70" s="2">
        <f t="shared" si="0"/>
        <v>1.314721598222987</v>
      </c>
      <c r="D70" s="2">
        <f t="shared" si="1"/>
        <v>-0.19202388350781233</v>
      </c>
      <c r="E70" s="2">
        <f t="shared" si="2"/>
        <v>6.8160389782376693E-2</v>
      </c>
      <c r="F70" s="2">
        <f t="shared" si="3"/>
        <v>0.27800000000000002</v>
      </c>
      <c r="G70" s="2">
        <f t="shared" si="4"/>
        <v>-1.5037944502196477E-4</v>
      </c>
      <c r="H70" s="2">
        <f t="shared" si="5"/>
        <v>0.93626171913621881</v>
      </c>
      <c r="I70" s="2">
        <f t="shared" si="6"/>
        <v>0.1548055084976436</v>
      </c>
      <c r="J70" s="2">
        <f t="shared" si="7"/>
        <v>0.29500783446643825</v>
      </c>
      <c r="K70" s="2">
        <f t="shared" si="8"/>
        <v>9.9717299197489943E-3</v>
      </c>
      <c r="L70" s="2">
        <f t="shared" si="11"/>
        <v>0.75145832147280811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hidden="1" x14ac:dyDescent="0.25">
      <c r="A71" s="2">
        <f t="shared" si="9"/>
        <v>0.30000000000000016</v>
      </c>
      <c r="B71" s="2">
        <f t="shared" si="10"/>
        <v>737.97656643123787</v>
      </c>
      <c r="C71" s="2">
        <f t="shared" si="0"/>
        <v>1.3149974455296469</v>
      </c>
      <c r="D71" s="2">
        <f t="shared" si="1"/>
        <v>-0.19193415302189851</v>
      </c>
      <c r="E71" s="2">
        <f t="shared" si="2"/>
        <v>6.8198675798161662E-2</v>
      </c>
      <c r="F71" s="2">
        <f t="shared" si="3"/>
        <v>0.27800000000000002</v>
      </c>
      <c r="G71" s="2">
        <f t="shared" si="4"/>
        <v>-1.5029223334830355E-4</v>
      </c>
      <c r="H71" s="2">
        <f t="shared" si="5"/>
        <v>0.93631204641616961</v>
      </c>
      <c r="I71" s="2">
        <f t="shared" si="6"/>
        <v>0.16433207478382983</v>
      </c>
      <c r="J71" s="2">
        <f t="shared" si="7"/>
        <v>0.29723888221171457</v>
      </c>
      <c r="K71" s="2">
        <f t="shared" si="8"/>
        <v>1.0008697285104172E-2</v>
      </c>
      <c r="L71" s="2">
        <f t="shared" si="11"/>
        <v>0.76146701875791223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hidden="1" x14ac:dyDescent="0.25">
      <c r="A72" s="2">
        <f t="shared" si="9"/>
        <v>0.30500000000000016</v>
      </c>
      <c r="B72" s="2">
        <f t="shared" si="10"/>
        <v>738.1408985060217</v>
      </c>
      <c r="C72" s="2">
        <f t="shared" si="0"/>
        <v>1.3152902681860685</v>
      </c>
      <c r="D72" s="2">
        <f t="shared" si="1"/>
        <v>-0.19183895123096076</v>
      </c>
      <c r="E72" s="2">
        <f t="shared" si="2"/>
        <v>6.8239262611918913E-2</v>
      </c>
      <c r="F72" s="2">
        <f t="shared" si="3"/>
        <v>0.27800000000000002</v>
      </c>
      <c r="G72" s="2">
        <f t="shared" si="4"/>
        <v>-1.501997120908047E-4</v>
      </c>
      <c r="H72" s="2">
        <f t="shared" si="5"/>
        <v>0.93636542339648687</v>
      </c>
      <c r="I72" s="2">
        <f t="shared" si="6"/>
        <v>0.1726211710447525</v>
      </c>
      <c r="J72" s="2">
        <f t="shared" si="7"/>
        <v>0.29962465516916159</v>
      </c>
      <c r="K72" s="2">
        <f t="shared" si="8"/>
        <v>1.0041705402724579E-2</v>
      </c>
      <c r="L72" s="2">
        <f t="shared" si="11"/>
        <v>0.77150872416063676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x14ac:dyDescent="0.25">
      <c r="A73" s="2">
        <f t="shared" si="9"/>
        <v>0.31000000000000016</v>
      </c>
      <c r="B73" s="2">
        <f t="shared" si="10"/>
        <v>738.31351967706644</v>
      </c>
      <c r="C73" s="2">
        <f t="shared" si="0"/>
        <v>1.3155978611494412</v>
      </c>
      <c r="D73" s="2">
        <f t="shared" si="1"/>
        <v>-0.19173900344330624</v>
      </c>
      <c r="E73" s="2">
        <f t="shared" si="2"/>
        <v>6.8281835443051928E-2</v>
      </c>
      <c r="F73" s="2">
        <f t="shared" si="3"/>
        <v>0.27800000000000002</v>
      </c>
      <c r="G73" s="2">
        <f t="shared" si="4"/>
        <v>-1.5010258747976139E-4</v>
      </c>
      <c r="H73" s="2">
        <f t="shared" si="5"/>
        <v>0.9364214402766271</v>
      </c>
      <c r="I73" s="2">
        <f t="shared" si="6"/>
        <v>0.17984557128393111</v>
      </c>
      <c r="J73" s="2">
        <f t="shared" si="7"/>
        <v>0.30215023650827366</v>
      </c>
      <c r="K73" s="2">
        <f t="shared" si="8"/>
        <v>1.0071313502221676E-2</v>
      </c>
      <c r="L73" s="2">
        <f t="shared" si="11"/>
        <v>0.78158003766285844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hidden="1" x14ac:dyDescent="0.25">
      <c r="A74" s="2">
        <f t="shared" si="9"/>
        <v>0.31500000000000017</v>
      </c>
      <c r="B74" s="2">
        <f t="shared" si="10"/>
        <v>738.49336524835041</v>
      </c>
      <c r="C74" s="2">
        <f t="shared" si="0"/>
        <v>1.3159183272422494</v>
      </c>
      <c r="D74" s="2">
        <f t="shared" si="1"/>
        <v>-0.19163493379849897</v>
      </c>
      <c r="E74" s="2">
        <f t="shared" si="2"/>
        <v>6.8326123368348798E-2</v>
      </c>
      <c r="F74" s="2">
        <f t="shared" si="3"/>
        <v>0.27800000000000002</v>
      </c>
      <c r="G74" s="2">
        <f t="shared" si="4"/>
        <v>-1.5000146724973001E-4</v>
      </c>
      <c r="H74" s="2">
        <f t="shared" si="5"/>
        <v>0.93647974438776083</v>
      </c>
      <c r="I74" s="2">
        <f t="shared" si="6"/>
        <v>0.18615600477271627</v>
      </c>
      <c r="J74" s="2">
        <f t="shared" si="7"/>
        <v>0.30480289043966496</v>
      </c>
      <c r="K74" s="2">
        <f t="shared" si="8"/>
        <v>1.0098009272001532E-2</v>
      </c>
      <c r="L74" s="2">
        <f t="shared" si="11"/>
        <v>0.79167804693485999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hidden="1" x14ac:dyDescent="0.25">
      <c r="A75" s="2">
        <f t="shared" si="9"/>
        <v>0.32000000000000017</v>
      </c>
      <c r="B75" s="2">
        <f t="shared" si="10"/>
        <v>738.67952125312308</v>
      </c>
      <c r="C75" s="2">
        <f t="shared" si="0"/>
        <v>1.3162500378708535</v>
      </c>
      <c r="D75" s="2">
        <f t="shared" si="1"/>
        <v>-0.19152727814007336</v>
      </c>
      <c r="E75" s="2">
        <f t="shared" si="2"/>
        <v>6.8371893765205194E-2</v>
      </c>
      <c r="F75" s="2">
        <f t="shared" si="3"/>
        <v>0.27800000000000002</v>
      </c>
      <c r="G75" s="2">
        <f t="shared" si="4"/>
        <v>-1.4989687316642073E-4</v>
      </c>
      <c r="H75" s="2">
        <f t="shared" si="5"/>
        <v>0.93654003293665589</v>
      </c>
      <c r="I75" s="2">
        <f t="shared" si="6"/>
        <v>0.19168351645359594</v>
      </c>
      <c r="J75" s="2">
        <f t="shared" si="7"/>
        <v>0.30757177293086219</v>
      </c>
      <c r="K75" s="2">
        <f t="shared" si="8"/>
        <v>1.0122216605306584E-2</v>
      </c>
      <c r="L75" s="2">
        <f t="shared" si="11"/>
        <v>0.80180026354016654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hidden="1" x14ac:dyDescent="0.25">
      <c r="A76" s="2">
        <f t="shared" si="9"/>
        <v>0.32500000000000018</v>
      </c>
      <c r="B76" s="2">
        <f t="shared" si="10"/>
        <v>738.87120476957671</v>
      </c>
      <c r="C76" s="2">
        <f t="shared" si="0"/>
        <v>1.3165915979500653</v>
      </c>
      <c r="D76" s="2">
        <f t="shared" si="1"/>
        <v>-0.19141649553059104</v>
      </c>
      <c r="E76" s="2">
        <f t="shared" si="2"/>
        <v>6.8418947327142585E-2</v>
      </c>
      <c r="F76" s="2">
        <f t="shared" si="3"/>
        <v>0.27800000000000002</v>
      </c>
      <c r="G76" s="2">
        <f t="shared" si="4"/>
        <v>-1.4978925223572964E-4</v>
      </c>
      <c r="H76" s="2">
        <f t="shared" si="5"/>
        <v>0.93660204650709156</v>
      </c>
      <c r="I76" s="2">
        <f t="shared" si="6"/>
        <v>0.19654170761819242</v>
      </c>
      <c r="J76" s="2">
        <f t="shared" si="7"/>
        <v>0.31044768005126033</v>
      </c>
      <c r="K76" s="2">
        <f t="shared" si="8"/>
        <v>1.0144302925052369E-2</v>
      </c>
      <c r="L76" s="2">
        <f t="shared" si="11"/>
        <v>0.81194456646521895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hidden="1" x14ac:dyDescent="0.25">
      <c r="A77" s="2">
        <f t="shared" si="9"/>
        <v>0.33000000000000018</v>
      </c>
      <c r="B77" s="2">
        <f t="shared" si="10"/>
        <v>739.06774647719487</v>
      </c>
      <c r="C77" s="2">
        <f t="shared" si="0"/>
        <v>1.3169418148203758</v>
      </c>
      <c r="D77" s="2">
        <f t="shared" si="1"/>
        <v>-0.19130297846951036</v>
      </c>
      <c r="E77" s="2">
        <f t="shared" si="2"/>
        <v>6.8467113631832291E-2</v>
      </c>
      <c r="F77" s="2">
        <f t="shared" si="3"/>
        <v>0.27800000000000002</v>
      </c>
      <c r="G77" s="2">
        <f t="shared" si="4"/>
        <v>-1.4967898665223207E-4</v>
      </c>
      <c r="H77" s="2">
        <f t="shared" si="5"/>
        <v>0.93666556328827233</v>
      </c>
      <c r="I77" s="2">
        <f t="shared" si="6"/>
        <v>0.20082881822511092</v>
      </c>
      <c r="J77" s="2">
        <f t="shared" si="7"/>
        <v>0.31342282943398114</v>
      </c>
      <c r="K77" s="2">
        <f t="shared" si="8"/>
        <v>1.0164585971471098E-2</v>
      </c>
      <c r="L77" s="2">
        <f t="shared" si="11"/>
        <v>0.82210915243669003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hidden="1" x14ac:dyDescent="0.25">
      <c r="A78" s="2">
        <f t="shared" si="9"/>
        <v>0.33500000000000019</v>
      </c>
      <c r="B78" s="2">
        <f t="shared" si="10"/>
        <v>739.26857529541996</v>
      </c>
      <c r="C78" s="2">
        <f t="shared" si="0"/>
        <v>1.317299670875659</v>
      </c>
      <c r="D78" s="2">
        <f t="shared" si="1"/>
        <v>-0.19118706190000845</v>
      </c>
      <c r="E78" s="2">
        <f t="shared" si="2"/>
        <v>6.8516247228672347E-2</v>
      </c>
      <c r="F78" s="2">
        <f t="shared" si="3"/>
        <v>0.27800000000000002</v>
      </c>
      <c r="G78" s="2">
        <f t="shared" si="4"/>
        <v>-1.4956640256994161E-4</v>
      </c>
      <c r="H78" s="2">
        <f t="shared" si="5"/>
        <v>0.93673039398406988</v>
      </c>
      <c r="I78" s="2">
        <f t="shared" si="6"/>
        <v>0.20462963103604204</v>
      </c>
      <c r="J78" s="2">
        <f t="shared" si="7"/>
        <v>0.31649067079218851</v>
      </c>
      <c r="K78" s="2">
        <f t="shared" si="8"/>
        <v>1.0183339995314145E-2</v>
      </c>
      <c r="L78" s="2">
        <f t="shared" si="11"/>
        <v>0.83229249243200421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hidden="1" x14ac:dyDescent="0.25">
      <c r="A79" s="2">
        <f t="shared" si="9"/>
        <v>0.34000000000000019</v>
      </c>
      <c r="B79" s="2">
        <f t="shared" si="10"/>
        <v>739.47320492645599</v>
      </c>
      <c r="C79" s="2">
        <f t="shared" si="0"/>
        <v>1.3176642995838488</v>
      </c>
      <c r="D79" s="2">
        <f t="shared" si="1"/>
        <v>-0.19106903110471743</v>
      </c>
      <c r="E79" s="2">
        <f t="shared" si="2"/>
        <v>6.8566224205489482E-2</v>
      </c>
      <c r="F79" s="2">
        <f t="shared" si="3"/>
        <v>0.27800000000000002</v>
      </c>
      <c r="G79" s="2">
        <f t="shared" si="4"/>
        <v>-1.4945177779195217E-4</v>
      </c>
      <c r="H79" s="2">
        <f t="shared" si="5"/>
        <v>0.9367963773482807</v>
      </c>
      <c r="I79" s="2">
        <f t="shared" si="6"/>
        <v>0.20801719102641622</v>
      </c>
      <c r="J79" s="2">
        <f t="shared" si="7"/>
        <v>0.31964572185674478</v>
      </c>
      <c r="K79" s="2">
        <f t="shared" si="8"/>
        <v>1.020080134062651E-2</v>
      </c>
      <c r="L79" s="2">
        <f t="shared" si="11"/>
        <v>0.84249329377263071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hidden="1" x14ac:dyDescent="0.25">
      <c r="A80" s="2">
        <f t="shared" si="9"/>
        <v>0.3450000000000002</v>
      </c>
      <c r="B80" s="2">
        <f t="shared" si="10"/>
        <v>739.68122211748243</v>
      </c>
      <c r="C80" s="2">
        <f t="shared" si="0"/>
        <v>1.3180349645714227</v>
      </c>
      <c r="D80" s="2">
        <f t="shared" si="1"/>
        <v>-0.19094912859574645</v>
      </c>
      <c r="E80" s="2">
        <f t="shared" si="2"/>
        <v>6.8616939190545304E-2</v>
      </c>
      <c r="F80" s="2">
        <f t="shared" si="3"/>
        <v>0.27800000000000002</v>
      </c>
      <c r="G80" s="2">
        <f t="shared" si="4"/>
        <v>-1.4933534848110298E-4</v>
      </c>
      <c r="H80" s="2">
        <f t="shared" si="5"/>
        <v>0.9368633762874421</v>
      </c>
      <c r="I80" s="2">
        <f t="shared" si="6"/>
        <v>0.21105434254414826</v>
      </c>
      <c r="J80" s="2">
        <f t="shared" si="7"/>
        <v>0.32288342650509344</v>
      </c>
      <c r="K80" s="2">
        <f t="shared" si="8"/>
        <v>1.021717342895103E-2</v>
      </c>
      <c r="L80" s="2">
        <f t="shared" si="11"/>
        <v>0.85271046720158172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hidden="1" x14ac:dyDescent="0.25">
      <c r="A81" s="2">
        <f t="shared" si="9"/>
        <v>0.3500000000000002</v>
      </c>
      <c r="B81" s="2">
        <f t="shared" si="10"/>
        <v>739.89227646002655</v>
      </c>
      <c r="C81" s="2">
        <f t="shared" si="0"/>
        <v>1.3184110414469468</v>
      </c>
      <c r="D81" s="2">
        <f t="shared" si="1"/>
        <v>-0.19082756010400842</v>
      </c>
      <c r="E81" s="2">
        <f t="shared" si="2"/>
        <v>6.8668302745439586E-2</v>
      </c>
      <c r="F81" s="2">
        <f t="shared" si="3"/>
        <v>0.27800000000000002</v>
      </c>
      <c r="G81" s="2">
        <f t="shared" si="4"/>
        <v>-1.4921731499363918E-4</v>
      </c>
      <c r="H81" s="2">
        <f t="shared" si="5"/>
        <v>0.93693127447252966</v>
      </c>
      <c r="I81" s="2">
        <f t="shared" si="6"/>
        <v>0.21379509251922676</v>
      </c>
      <c r="J81" s="2">
        <f t="shared" si="7"/>
        <v>0.32620003222336119</v>
      </c>
      <c r="K81" s="2">
        <f t="shared" si="8"/>
        <v>1.0232631174656717E-2</v>
      </c>
      <c r="L81" s="2">
        <f t="shared" si="11"/>
        <v>0.86294309837623839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hidden="1" x14ac:dyDescent="0.25">
      <c r="A82" s="2">
        <f t="shared" si="9"/>
        <v>0.3550000000000002</v>
      </c>
      <c r="B82" s="2">
        <f t="shared" si="10"/>
        <v>740.10607155254581</v>
      </c>
      <c r="C82" s="2">
        <f t="shared" si="0"/>
        <v>1.3187920020537165</v>
      </c>
      <c r="D82" s="2">
        <f t="shared" si="1"/>
        <v>-0.19070449976876624</v>
      </c>
      <c r="E82" s="2">
        <f t="shared" si="2"/>
        <v>6.8720239105784356E-2</v>
      </c>
      <c r="F82" s="2">
        <f t="shared" si="3"/>
        <v>0.27800000000000002</v>
      </c>
      <c r="G82" s="2">
        <f t="shared" si="4"/>
        <v>-1.4909784693396748E-4</v>
      </c>
      <c r="H82" s="2">
        <f t="shared" si="5"/>
        <v>0.93699997340290153</v>
      </c>
      <c r="I82" s="2">
        <f t="shared" si="6"/>
        <v>0.21628581151873602</v>
      </c>
      <c r="J82" s="2">
        <f t="shared" si="7"/>
        <v>0.32959248438366112</v>
      </c>
      <c r="K82" s="2">
        <f t="shared" si="8"/>
        <v>1.0247324871605942E-2</v>
      </c>
      <c r="L82" s="2">
        <f t="shared" si="11"/>
        <v>0.87319042324784435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hidden="1" x14ac:dyDescent="0.25">
      <c r="A83" s="2">
        <f t="shared" si="9"/>
        <v>0.36000000000000021</v>
      </c>
      <c r="B83" s="2">
        <f t="shared" si="10"/>
        <v>740.3223573640646</v>
      </c>
      <c r="C83" s="2">
        <f t="shared" si="0"/>
        <v>1.3191774008625525</v>
      </c>
      <c r="D83" s="2">
        <f t="shared" si="1"/>
        <v>-0.19058009462190298</v>
      </c>
      <c r="E83" s="2">
        <f t="shared" si="2"/>
        <v>6.8772684228970177E-2</v>
      </c>
      <c r="F83" s="2">
        <f t="shared" si="3"/>
        <v>0.27800000000000002</v>
      </c>
      <c r="G83" s="2">
        <f t="shared" si="4"/>
        <v>-1.4897708752244381E-4</v>
      </c>
      <c r="H83" s="2">
        <f t="shared" si="5"/>
        <v>0.93706938986928112</v>
      </c>
      <c r="I83" s="2">
        <f t="shared" si="6"/>
        <v>0.21856628626762559</v>
      </c>
      <c r="J83" s="2">
        <f t="shared" si="7"/>
        <v>0.33305833512597738</v>
      </c>
      <c r="K83" s="2">
        <f t="shared" si="8"/>
        <v>1.0261383596699113E-2</v>
      </c>
      <c r="L83" s="2">
        <f t="shared" si="11"/>
        <v>0.8834518068445435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hidden="1" x14ac:dyDescent="0.25">
      <c r="A84" s="2">
        <f t="shared" si="9"/>
        <v>0.36500000000000021</v>
      </c>
      <c r="B84" s="2">
        <f t="shared" si="10"/>
        <v>740.54092365033227</v>
      </c>
      <c r="C84" s="2">
        <f t="shared" si="0"/>
        <v>1.3195668632400788</v>
      </c>
      <c r="D84" s="2">
        <f t="shared" si="1"/>
        <v>-0.19045446845376784</v>
      </c>
      <c r="E84" s="2">
        <f t="shared" si="2"/>
        <v>6.8825584111445584E-2</v>
      </c>
      <c r="F84" s="2">
        <f t="shared" si="3"/>
        <v>0.27800000000000002</v>
      </c>
      <c r="G84" s="2">
        <f t="shared" si="4"/>
        <v>-1.4885515736073283E-4</v>
      </c>
      <c r="H84" s="2">
        <f t="shared" si="5"/>
        <v>0.9371394537667761</v>
      </c>
      <c r="I84" s="2">
        <f t="shared" si="6"/>
        <v>0.22067063792359312</v>
      </c>
      <c r="J84" s="2">
        <f t="shared" si="7"/>
        <v>0.33659566490983611</v>
      </c>
      <c r="K84" s="2">
        <f t="shared" si="8"/>
        <v>1.0274918177564403E-2</v>
      </c>
      <c r="L84" s="2">
        <f t="shared" si="11"/>
        <v>0.89372672502210793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hidden="1" x14ac:dyDescent="0.25">
      <c r="A85" s="2">
        <f t="shared" si="9"/>
        <v>0.37000000000000022</v>
      </c>
      <c r="B85" s="2">
        <f t="shared" si="10"/>
        <v>740.76159428825588</v>
      </c>
      <c r="C85" s="2">
        <f t="shared" si="0"/>
        <v>1.3199600753532712</v>
      </c>
      <c r="D85" s="2">
        <f t="shared" si="1"/>
        <v>-0.19032772513927887</v>
      </c>
      <c r="E85" s="2">
        <f t="shared" si="2"/>
        <v>6.8878893341350556E-2</v>
      </c>
      <c r="F85" s="2">
        <f t="shared" si="3"/>
        <v>0.27800000000000002</v>
      </c>
      <c r="G85" s="2">
        <f t="shared" si="4"/>
        <v>-1.4873215767135381E-4</v>
      </c>
      <c r="H85" s="2">
        <f t="shared" si="5"/>
        <v>0.93721010621347045</v>
      </c>
      <c r="I85" s="2">
        <f t="shared" si="6"/>
        <v>0.22262812028662399</v>
      </c>
      <c r="J85" s="2">
        <f t="shared" si="7"/>
        <v>0.34020301504680561</v>
      </c>
      <c r="K85" s="2">
        <f t="shared" si="8"/>
        <v>1.0288023770993722E-2</v>
      </c>
      <c r="L85" s="2">
        <f t="shared" si="11"/>
        <v>0.90401474879310162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hidden="1" x14ac:dyDescent="0.25">
      <c r="A86" s="2">
        <f t="shared" si="9"/>
        <v>0.37500000000000022</v>
      </c>
      <c r="B86" s="2">
        <f t="shared" si="10"/>
        <v>740.98422240854245</v>
      </c>
      <c r="C86" s="2">
        <f t="shared" si="0"/>
        <v>1.3203567754963335</v>
      </c>
      <c r="D86" s="2">
        <f t="shared" si="1"/>
        <v>-0.1901999514947712</v>
      </c>
      <c r="E86" s="2">
        <f t="shared" si="2"/>
        <v>6.8932573855816484E-2</v>
      </c>
      <c r="F86" s="2">
        <f t="shared" si="3"/>
        <v>0.27800000000000002</v>
      </c>
      <c r="G86" s="2">
        <f t="shared" si="4"/>
        <v>-1.4860817308007029E-4</v>
      </c>
      <c r="H86" s="2">
        <f t="shared" si="5"/>
        <v>0.93728129793471227</v>
      </c>
      <c r="I86" s="2">
        <f t="shared" si="6"/>
        <v>0.22446381151915523</v>
      </c>
      <c r="J86" s="2">
        <f t="shared" si="7"/>
        <v>0.34387932974276453</v>
      </c>
      <c r="K86" s="2">
        <f t="shared" si="8"/>
        <v>1.0300782096539186E-2</v>
      </c>
      <c r="L86" s="2">
        <f t="shared" si="11"/>
        <v>0.91431553088964079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hidden="1" x14ac:dyDescent="0.25">
      <c r="A87" s="2">
        <f t="shared" si="9"/>
        <v>0.38000000000000023</v>
      </c>
      <c r="B87" s="2">
        <f t="shared" si="10"/>
        <v>741.20868622006162</v>
      </c>
      <c r="C87" s="2">
        <f t="shared" si="0"/>
        <v>1.3207567466501453</v>
      </c>
      <c r="D87" s="2">
        <f t="shared" si="1"/>
        <v>-0.19007121972818419</v>
      </c>
      <c r="E87" s="2">
        <f t="shared" si="2"/>
        <v>6.898659387563609E-2</v>
      </c>
      <c r="F87" s="2">
        <f t="shared" si="3"/>
        <v>0.27800000000000002</v>
      </c>
      <c r="G87" s="2">
        <f t="shared" si="4"/>
        <v>-1.4848327400210264E-4</v>
      </c>
      <c r="H87" s="2">
        <f t="shared" si="5"/>
        <v>0.93735298787765731</v>
      </c>
      <c r="I87" s="2">
        <f t="shared" si="6"/>
        <v>0.22619921205169824</v>
      </c>
      <c r="J87" s="2">
        <f t="shared" si="7"/>
        <v>0.3476239063711839</v>
      </c>
      <c r="K87" s="2">
        <f t="shared" si="8"/>
        <v>1.0313263366602937E-2</v>
      </c>
      <c r="L87" s="2">
        <f t="shared" si="11"/>
        <v>0.92462879425624378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hidden="1" x14ac:dyDescent="0.25">
      <c r="A88" s="2">
        <f t="shared" si="9"/>
        <v>0.38500000000000023</v>
      </c>
      <c r="B88" s="2">
        <f t="shared" si="10"/>
        <v>741.43488543211333</v>
      </c>
      <c r="C88" s="2">
        <f t="shared" si="0"/>
        <v>1.3211598101071156</v>
      </c>
      <c r="D88" s="2">
        <f t="shared" si="1"/>
        <v>-0.18994158953777979</v>
      </c>
      <c r="E88" s="2">
        <f t="shared" si="2"/>
        <v>6.9040926993205562E-2</v>
      </c>
      <c r="F88" s="2">
        <f t="shared" si="3"/>
        <v>0.27800000000000002</v>
      </c>
      <c r="G88" s="2">
        <f t="shared" si="4"/>
        <v>-1.4835751868593855E-4</v>
      </c>
      <c r="H88" s="2">
        <f t="shared" si="5"/>
        <v>0.93742514202480487</v>
      </c>
      <c r="I88" s="2">
        <f t="shared" si="6"/>
        <v>0.22785276029231691</v>
      </c>
      <c r="J88" s="2">
        <f t="shared" si="7"/>
        <v>0.35143635286772407</v>
      </c>
      <c r="K88" s="2">
        <f t="shared" si="8"/>
        <v>1.0325527950817245E-2</v>
      </c>
      <c r="L88" s="2">
        <f t="shared" si="11"/>
        <v>0.93495432220706098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hidden="1" x14ac:dyDescent="0.25">
      <c r="A89" s="2">
        <f t="shared" si="9"/>
        <v>0.39000000000000024</v>
      </c>
      <c r="B89" s="2">
        <f t="shared" si="10"/>
        <v>741.66273819240564</v>
      </c>
      <c r="C89" s="2">
        <f t="shared" si="0"/>
        <v>1.3215658200149778</v>
      </c>
      <c r="D89" s="2">
        <f t="shared" si="1"/>
        <v>-0.18981110990777056</v>
      </c>
      <c r="E89" s="2">
        <f t="shared" si="2"/>
        <v>6.9095551392594795E-2</v>
      </c>
      <c r="F89" s="2">
        <f t="shared" si="3"/>
        <v>0.27800000000000002</v>
      </c>
      <c r="G89" s="2">
        <f t="shared" si="4"/>
        <v>-1.4823095496188364E-4</v>
      </c>
      <c r="H89" s="2">
        <f t="shared" si="5"/>
        <v>0.93749773237910894</v>
      </c>
      <c r="I89" s="2">
        <f t="shared" si="6"/>
        <v>0.2294402766440424</v>
      </c>
      <c r="J89" s="2">
        <f t="shared" si="7"/>
        <v>0.35531655128449846</v>
      </c>
      <c r="K89" s="2">
        <f t="shared" si="8"/>
        <v>1.0337627808824017E-2</v>
      </c>
      <c r="L89" s="2">
        <f t="shared" si="11"/>
        <v>0.94529195001588495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hidden="1" x14ac:dyDescent="0.25">
      <c r="A90" s="2">
        <f t="shared" si="9"/>
        <v>0.39500000000000024</v>
      </c>
      <c r="B90" s="2">
        <f t="shared" si="10"/>
        <v>741.89217846904967</v>
      </c>
      <c r="C90" s="2">
        <f t="shared" si="0"/>
        <v>1.3219746587117776</v>
      </c>
      <c r="D90" s="2">
        <f t="shared" si="1"/>
        <v>-0.1896798206430732</v>
      </c>
      <c r="E90" s="2">
        <f t="shared" si="2"/>
        <v>6.9150449183290608E-2</v>
      </c>
      <c r="F90" s="2">
        <f t="shared" si="3"/>
        <v>0.27800000000000002</v>
      </c>
      <c r="G90" s="2">
        <f t="shared" si="4"/>
        <v>-1.4810362173648929E-4</v>
      </c>
      <c r="H90" s="2">
        <f t="shared" si="5"/>
        <v>0.93757073609673747</v>
      </c>
      <c r="I90" s="2">
        <f t="shared" si="6"/>
        <v>0.23097534522458774</v>
      </c>
      <c r="J90" s="2">
        <f t="shared" si="7"/>
        <v>0.35926462667184184</v>
      </c>
      <c r="K90" s="2">
        <f t="shared" si="8"/>
        <v>1.03496077219153E-2</v>
      </c>
      <c r="L90" s="2">
        <f t="shared" si="11"/>
        <v>0.95564155773780024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hidden="1" x14ac:dyDescent="0.25">
      <c r="A91" s="2">
        <f t="shared" si="9"/>
        <v>0.40000000000000024</v>
      </c>
      <c r="B91" s="2">
        <f t="shared" si="10"/>
        <v>742.12315381427425</v>
      </c>
      <c r="C91" s="2">
        <f t="shared" si="0"/>
        <v>1.3223862327410445</v>
      </c>
      <c r="D91" s="2">
        <f t="shared" si="1"/>
        <v>-0.18954775367987425</v>
      </c>
      <c r="E91" s="2">
        <f t="shared" si="2"/>
        <v>6.9205605831568262E-2</v>
      </c>
      <c r="F91" s="2">
        <f t="shared" si="3"/>
        <v>0.27800000000000002</v>
      </c>
      <c r="G91" s="2">
        <f t="shared" si="4"/>
        <v>-1.4797555026860984E-4</v>
      </c>
      <c r="H91" s="2">
        <f t="shared" si="5"/>
        <v>0.93764413474668329</v>
      </c>
      <c r="I91" s="2">
        <f t="shared" si="6"/>
        <v>0.23246964161973016</v>
      </c>
      <c r="J91" s="2">
        <f t="shared" si="7"/>
        <v>0.36328092056827777</v>
      </c>
      <c r="K91" s="2">
        <f t="shared" si="8"/>
        <v>1.0361506350518759E-2</v>
      </c>
      <c r="L91" s="2">
        <f t="shared" si="11"/>
        <v>0.96600306408831904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hidden="1" x14ac:dyDescent="0.25">
      <c r="A92" s="2">
        <f t="shared" si="9"/>
        <v>0.40500000000000025</v>
      </c>
      <c r="B92" s="2">
        <f t="shared" si="10"/>
        <v>742.35562345589403</v>
      </c>
      <c r="C92" s="2">
        <f t="shared" si="0"/>
        <v>1.3228004694509872</v>
      </c>
      <c r="D92" s="2">
        <f t="shared" si="1"/>
        <v>-0.18941493420378988</v>
      </c>
      <c r="E92" s="2">
        <f t="shared" si="2"/>
        <v>6.9261009675593482E-2</v>
      </c>
      <c r="F92" s="2">
        <f t="shared" si="3"/>
        <v>0.27800000000000002</v>
      </c>
      <c r="G92" s="2">
        <f t="shared" si="4"/>
        <v>-1.4784676525805943E-4</v>
      </c>
      <c r="H92" s="2">
        <f t="shared" si="5"/>
        <v>0.93771791367921142</v>
      </c>
      <c r="I92" s="2">
        <f t="shared" si="6"/>
        <v>0.23393321400947295</v>
      </c>
      <c r="J92" s="2">
        <f t="shared" si="7"/>
        <v>0.3673659684775481</v>
      </c>
      <c r="K92" s="2">
        <f t="shared" si="8"/>
        <v>1.0373357141276532E-2</v>
      </c>
      <c r="L92" s="2">
        <f t="shared" si="11"/>
        <v>0.97637642122959556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hidden="1" x14ac:dyDescent="0.25">
      <c r="A93" s="2">
        <f t="shared" si="9"/>
        <v>0.41000000000000025</v>
      </c>
      <c r="B93" s="2">
        <f t="shared" si="10"/>
        <v>742.58955666990346</v>
      </c>
      <c r="C93" s="2">
        <f t="shared" si="0"/>
        <v>1.3232173140946248</v>
      </c>
      <c r="D93" s="2">
        <f t="shared" si="1"/>
        <v>-0.18928138160307686</v>
      </c>
      <c r="E93" s="2">
        <f t="shared" si="2"/>
        <v>6.9316651512249583E-2</v>
      </c>
      <c r="F93" s="2">
        <f t="shared" si="3"/>
        <v>0.27800000000000002</v>
      </c>
      <c r="G93" s="2">
        <f t="shared" si="4"/>
        <v>-1.4771728577362577E-4</v>
      </c>
      <c r="H93" s="2">
        <f t="shared" si="5"/>
        <v>0.93779206148757832</v>
      </c>
      <c r="I93" s="2">
        <f t="shared" si="6"/>
        <v>0.23537472409565929</v>
      </c>
      <c r="J93" s="2">
        <f t="shared" si="7"/>
        <v>0.37152048079700228</v>
      </c>
      <c r="K93" s="2">
        <f t="shared" si="8"/>
        <v>1.0385189104504186E-2</v>
      </c>
      <c r="L93" s="2">
        <f t="shared" si="11"/>
        <v>0.9867616103340997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hidden="1" x14ac:dyDescent="0.25">
      <c r="A94" s="2">
        <f t="shared" si="9"/>
        <v>0.41500000000000026</v>
      </c>
      <c r="B94" s="2">
        <f t="shared" si="10"/>
        <v>742.82493139399912</v>
      </c>
      <c r="C94" s="2">
        <f t="shared" si="0"/>
        <v>1.3236367273592287</v>
      </c>
      <c r="D94" s="2">
        <f t="shared" si="1"/>
        <v>-0.18914711028056266</v>
      </c>
      <c r="E94" s="2">
        <f t="shared" si="2"/>
        <v>6.9372524245344111E-2</v>
      </c>
      <c r="F94" s="2">
        <f t="shared" si="3"/>
        <v>0.27800000000000002</v>
      </c>
      <c r="G94" s="2">
        <f t="shared" si="4"/>
        <v>-1.475871260435034E-4</v>
      </c>
      <c r="H94" s="2">
        <f t="shared" si="5"/>
        <v>0.93786656954961112</v>
      </c>
      <c r="I94" s="2">
        <f t="shared" si="6"/>
        <v>0.23680165343771589</v>
      </c>
      <c r="J94" s="2">
        <f t="shared" si="7"/>
        <v>0.37574532673569316</v>
      </c>
      <c r="K94" s="2">
        <f t="shared" si="8"/>
        <v>1.0397027480147774E-2</v>
      </c>
      <c r="L94" s="2">
        <f t="shared" si="11"/>
        <v>0.99715863781424752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hidden="1" x14ac:dyDescent="0.25">
      <c r="A95" s="2">
        <f t="shared" si="9"/>
        <v>0.42000000000000026</v>
      </c>
      <c r="B95" s="2">
        <f t="shared" si="10"/>
        <v>743.06173304743686</v>
      </c>
      <c r="C95" s="2">
        <f t="shared" si="0"/>
        <v>1.3240586832634298</v>
      </c>
      <c r="D95" s="2">
        <f t="shared" si="1"/>
        <v>-0.18901213034465611</v>
      </c>
      <c r="E95" s="2">
        <f t="shared" si="2"/>
        <v>6.9428622586298991E-2</v>
      </c>
      <c r="F95" s="2">
        <f t="shared" si="3"/>
        <v>0.27800000000000002</v>
      </c>
      <c r="G95" s="2">
        <f t="shared" si="4"/>
        <v>-1.4745629612798709E-4</v>
      </c>
      <c r="H95" s="2">
        <f t="shared" si="5"/>
        <v>0.93794143163760768</v>
      </c>
      <c r="I95" s="2">
        <f t="shared" si="6"/>
        <v>0.23822048006873472</v>
      </c>
      <c r="J95" s="2">
        <f t="shared" si="7"/>
        <v>0.38004152082468962</v>
      </c>
      <c r="K95" s="2">
        <f t="shared" si="8"/>
        <v>1.0408894307975633E-2</v>
      </c>
      <c r="L95" s="2">
        <f t="shared" si="11"/>
        <v>1.0075675321222231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hidden="1" x14ac:dyDescent="0.25">
      <c r="A96" s="2">
        <f t="shared" si="9"/>
        <v>0.42500000000000027</v>
      </c>
      <c r="B96" s="2">
        <f t="shared" si="10"/>
        <v>743.29995352750564</v>
      </c>
      <c r="C96" s="2">
        <f t="shared" si="0"/>
        <v>1.3244831673690405</v>
      </c>
      <c r="D96" s="2">
        <f t="shared" si="1"/>
        <v>-0.18887644819692628</v>
      </c>
      <c r="E96" s="2">
        <f t="shared" si="2"/>
        <v>6.9484942799687019E-2</v>
      </c>
      <c r="F96" s="2">
        <f t="shared" si="3"/>
        <v>0.27800000000000002</v>
      </c>
      <c r="G96" s="2">
        <f t="shared" si="4"/>
        <v>-1.4732480249146423E-4</v>
      </c>
      <c r="H96" s="2">
        <f t="shared" si="5"/>
        <v>0.93801664358665093</v>
      </c>
      <c r="I96" s="2">
        <f t="shared" si="6"/>
        <v>0.23963682961126426</v>
      </c>
      <c r="J96" s="2">
        <f t="shared" si="7"/>
        <v>0.38441021167791156</v>
      </c>
      <c r="K96" s="2">
        <f t="shared" si="8"/>
        <v>1.0420808915627711E-2</v>
      </c>
      <c r="L96" s="2">
        <f t="shared" si="11"/>
        <v>1.0179883410378507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hidden="1" x14ac:dyDescent="0.25">
      <c r="A97" s="2">
        <f t="shared" si="9"/>
        <v>0.43000000000000027</v>
      </c>
      <c r="B97" s="2">
        <f t="shared" si="10"/>
        <v>743.53959035711694</v>
      </c>
      <c r="C97" s="2">
        <f t="shared" si="0"/>
        <v>1.324910175262147</v>
      </c>
      <c r="D97" s="2">
        <f t="shared" si="1"/>
        <v>-0.18874006703125004</v>
      </c>
      <c r="E97" s="2">
        <f t="shared" si="2"/>
        <v>6.9541482487066958E-2</v>
      </c>
      <c r="F97" s="2">
        <f t="shared" si="3"/>
        <v>0.27800000000000002</v>
      </c>
      <c r="G97" s="2">
        <f t="shared" si="4"/>
        <v>-1.4719264848832127E-4</v>
      </c>
      <c r="H97" s="2">
        <f t="shared" si="5"/>
        <v>0.93809220301284135</v>
      </c>
      <c r="I97" s="2">
        <f t="shared" si="6"/>
        <v>0.24105560453979713</v>
      </c>
      <c r="J97" s="2">
        <f t="shared" si="7"/>
        <v>0.38885267270982188</v>
      </c>
      <c r="K97" s="2">
        <f t="shared" si="8"/>
        <v>1.0432788336293202E-2</v>
      </c>
      <c r="L97" s="2">
        <f t="shared" si="11"/>
        <v>1.0284211293741439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hidden="1" x14ac:dyDescent="0.25">
      <c r="A98" s="2">
        <f t="shared" si="9"/>
        <v>0.43500000000000028</v>
      </c>
      <c r="B98" s="2">
        <f t="shared" si="10"/>
        <v>743.78064596165677</v>
      </c>
      <c r="C98" s="2">
        <f t="shared" si="0"/>
        <v>1.3253397112645344</v>
      </c>
      <c r="D98" s="2">
        <f t="shared" si="1"/>
        <v>-0.18860298725737906</v>
      </c>
      <c r="E98" s="2">
        <f t="shared" si="2"/>
        <v>6.9598240403512701E-2</v>
      </c>
      <c r="F98" s="2">
        <f t="shared" si="3"/>
        <v>0.27800000000000002</v>
      </c>
      <c r="G98" s="2">
        <f t="shared" si="4"/>
        <v>-1.4705983477528381E-4</v>
      </c>
      <c r="H98" s="2">
        <f t="shared" si="5"/>
        <v>0.93816810907417092</v>
      </c>
      <c r="I98" s="2">
        <f t="shared" si="6"/>
        <v>0.24248109473405532</v>
      </c>
      <c r="J98" s="2">
        <f t="shared" si="7"/>
        <v>0.39337029455807515</v>
      </c>
      <c r="K98" s="2">
        <f t="shared" si="8"/>
        <v>1.0444847666161945E-2</v>
      </c>
      <c r="L98" s="2">
        <f t="shared" si="11"/>
        <v>1.0388659770403059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hidden="1" x14ac:dyDescent="0.25">
      <c r="A99" s="2">
        <f t="shared" si="9"/>
        <v>0.44000000000000028</v>
      </c>
      <c r="B99" s="2">
        <f t="shared" si="10"/>
        <v>744.02312705639088</v>
      </c>
      <c r="C99" s="2">
        <f t="shared" si="0"/>
        <v>1.3257717873421078</v>
      </c>
      <c r="D99" s="2">
        <f t="shared" si="1"/>
        <v>-0.18846520685992135</v>
      </c>
      <c r="E99" s="2">
        <f t="shared" si="2"/>
        <v>6.9655216302043368E-2</v>
      </c>
      <c r="F99" s="2">
        <f t="shared" si="3"/>
        <v>0.27800000000000002</v>
      </c>
      <c r="G99" s="2">
        <f t="shared" si="4"/>
        <v>-1.4692635966090086E-4</v>
      </c>
      <c r="H99" s="2">
        <f t="shared" si="5"/>
        <v>0.93824436226781427</v>
      </c>
      <c r="I99" s="2">
        <f t="shared" si="6"/>
        <v>0.24391707202904386</v>
      </c>
      <c r="J99" s="2">
        <f t="shared" si="7"/>
        <v>0.39796457899535692</v>
      </c>
      <c r="K99" s="2">
        <f t="shared" si="8"/>
        <v>1.0457000370379329E-2</v>
      </c>
      <c r="L99" s="2">
        <f t="shared" si="11"/>
        <v>1.0493229774106851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hidden="1" x14ac:dyDescent="0.25">
      <c r="A100" s="2">
        <f t="shared" si="9"/>
        <v>0.44500000000000028</v>
      </c>
      <c r="B100" s="2">
        <f t="shared" si="10"/>
        <v>744.26704412841991</v>
      </c>
      <c r="C100" s="2">
        <f t="shared" si="0"/>
        <v>1.3262064221817889</v>
      </c>
      <c r="D100" s="2">
        <f t="shared" si="1"/>
        <v>-0.18832672170214199</v>
      </c>
      <c r="E100" s="2">
        <f t="shared" si="2"/>
        <v>6.9712410801856223E-2</v>
      </c>
      <c r="F100" s="2">
        <f t="shared" si="3"/>
        <v>0.27800000000000002</v>
      </c>
      <c r="G100" s="2">
        <f t="shared" si="4"/>
        <v>-1.4679221940133515E-4</v>
      </c>
      <c r="H100" s="2">
        <f t="shared" si="5"/>
        <v>0.93832096425851563</v>
      </c>
      <c r="I100" s="2">
        <f t="shared" si="6"/>
        <v>0.24536687108836283</v>
      </c>
      <c r="J100" s="2">
        <f t="shared" si="7"/>
        <v>0.40263713414576235</v>
      </c>
      <c r="K100" s="2">
        <f t="shared" si="8"/>
        <v>1.0469258545009465E-2</v>
      </c>
      <c r="L100" s="2">
        <f t="shared" si="11"/>
        <v>1.0597922359556946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hidden="1" x14ac:dyDescent="0.25">
      <c r="A101" s="2">
        <f t="shared" si="9"/>
        <v>0.45000000000000029</v>
      </c>
      <c r="B101" s="2">
        <f t="shared" si="10"/>
        <v>744.51241099950823</v>
      </c>
      <c r="C101" s="2">
        <f t="shared" si="0"/>
        <v>1.3266436404125235</v>
      </c>
      <c r="D101" s="2">
        <f t="shared" si="1"/>
        <v>-0.18818752578261363</v>
      </c>
      <c r="E101" s="2">
        <f t="shared" si="2"/>
        <v>6.9769825276868605E-2</v>
      </c>
      <c r="F101" s="2">
        <f t="shared" si="3"/>
        <v>0.27800000000000002</v>
      </c>
      <c r="G101" s="2">
        <f t="shared" si="4"/>
        <v>-1.466574084502804E-4</v>
      </c>
      <c r="H101" s="2">
        <f t="shared" si="5"/>
        <v>0.93839791773352665</v>
      </c>
      <c r="I101" s="2">
        <f t="shared" si="6"/>
        <v>0.24683345859716857</v>
      </c>
      <c r="J101" s="2">
        <f t="shared" si="7"/>
        <v>0.40738967084821393</v>
      </c>
      <c r="K101" s="2">
        <f t="shared" si="8"/>
        <v>1.0481633141446085E-2</v>
      </c>
      <c r="L101" s="2">
        <f t="shared" si="11"/>
        <v>1.0702738690971407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hidden="1" x14ac:dyDescent="0.25">
      <c r="A102" s="2">
        <f t="shared" si="9"/>
        <v>0.45500000000000029</v>
      </c>
      <c r="B102" s="2">
        <f t="shared" si="10"/>
        <v>744.7592444581054</v>
      </c>
      <c r="C102" s="2">
        <f t="shared" si="0"/>
        <v>1.3270834719495819</v>
      </c>
      <c r="D102" s="2">
        <f t="shared" si="1"/>
        <v>-0.18804761145157473</v>
      </c>
      <c r="E102" s="2">
        <f t="shared" si="2"/>
        <v>6.9827461761583443E-2</v>
      </c>
      <c r="F102" s="2">
        <f t="shared" si="3"/>
        <v>0.27800000000000002</v>
      </c>
      <c r="G102" s="2">
        <f t="shared" si="4"/>
        <v>-1.4652191966968566E-4</v>
      </c>
      <c r="H102" s="2">
        <f t="shared" si="5"/>
        <v>0.93847522628021762</v>
      </c>
      <c r="I102" s="2">
        <f t="shared" si="6"/>
        <v>0.24831949248758453</v>
      </c>
      <c r="J102" s="2">
        <f t="shared" si="7"/>
        <v>0.41222400003271803</v>
      </c>
      <c r="K102" s="2">
        <f t="shared" si="8"/>
        <v>1.049413415879575E-2</v>
      </c>
      <c r="L102" s="2">
        <f t="shared" si="11"/>
        <v>1.0807680032559366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hidden="1" x14ac:dyDescent="0.25">
      <c r="A103" s="2">
        <f t="shared" si="9"/>
        <v>0.4600000000000003</v>
      </c>
      <c r="B103" s="2">
        <f t="shared" si="10"/>
        <v>745.00756395059295</v>
      </c>
      <c r="C103" s="2">
        <f t="shared" si="0"/>
        <v>1.3275259514443922</v>
      </c>
      <c r="D103" s="2">
        <f t="shared" si="1"/>
        <v>-0.1879069695928455</v>
      </c>
      <c r="E103" s="2">
        <f t="shared" si="2"/>
        <v>6.9885322871735725E-2</v>
      </c>
      <c r="F103" s="2">
        <f t="shared" si="3"/>
        <v>0.27800000000000002</v>
      </c>
      <c r="G103" s="2">
        <f t="shared" si="4"/>
        <v>-1.4638574450698348E-4</v>
      </c>
      <c r="H103" s="2">
        <f t="shared" si="5"/>
        <v>0.93855289428305433</v>
      </c>
      <c r="I103" s="2">
        <f t="shared" si="6"/>
        <v>0.24982737266353139</v>
      </c>
      <c r="J103" s="2">
        <f t="shared" si="7"/>
        <v>0.41714203099565839</v>
      </c>
      <c r="K103" s="2">
        <f t="shared" si="8"/>
        <v>1.0506770808965414E-2</v>
      </c>
      <c r="L103" s="2">
        <f t="shared" si="11"/>
        <v>1.091274774064902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hidden="1" x14ac:dyDescent="0.25">
      <c r="A104" s="2">
        <f t="shared" si="9"/>
        <v>0.4650000000000003</v>
      </c>
      <c r="B104" s="2">
        <f t="shared" si="10"/>
        <v>745.25739132325646</v>
      </c>
      <c r="C104" s="2">
        <f t="shared" si="0"/>
        <v>1.327971117824762</v>
      </c>
      <c r="D104" s="2">
        <f t="shared" si="1"/>
        <v>-0.18776558977628688</v>
      </c>
      <c r="E104" s="2">
        <f t="shared" si="2"/>
        <v>6.9943411737554043E-2</v>
      </c>
      <c r="F104" s="2">
        <f t="shared" si="3"/>
        <v>0.27800000000000002</v>
      </c>
      <c r="G104" s="2">
        <f t="shared" si="4"/>
        <v>-1.4624887314367696E-4</v>
      </c>
      <c r="H104" s="2">
        <f t="shared" si="5"/>
        <v>0.93863092683712102</v>
      </c>
      <c r="I104" s="2">
        <f t="shared" si="6"/>
        <v>0.25135928448177586</v>
      </c>
      <c r="J104" s="2">
        <f t="shared" si="7"/>
        <v>0.42214577047783713</v>
      </c>
      <c r="K104" s="2">
        <f t="shared" si="8"/>
        <v>1.051955165850885E-2</v>
      </c>
      <c r="L104" s="2">
        <f t="shared" si="11"/>
        <v>1.1017943257234109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hidden="1" x14ac:dyDescent="0.25">
      <c r="A105" s="2">
        <f t="shared" si="9"/>
        <v>0.47000000000000031</v>
      </c>
      <c r="B105" s="2">
        <f t="shared" si="10"/>
        <v>745.50875060773819</v>
      </c>
      <c r="C105" s="2">
        <f t="shared" si="0"/>
        <v>1.3284190139125769</v>
      </c>
      <c r="D105" s="2">
        <f t="shared" si="1"/>
        <v>-0.18762346038505245</v>
      </c>
      <c r="E105" s="2">
        <f t="shared" si="2"/>
        <v>7.0001731947791093E-2</v>
      </c>
      <c r="F105" s="2">
        <f t="shared" si="3"/>
        <v>0.27800000000000002</v>
      </c>
      <c r="G105" s="2">
        <f t="shared" si="4"/>
        <v>-1.4611129461942389E-4</v>
      </c>
      <c r="H105" s="2">
        <f t="shared" si="5"/>
        <v>0.93870932967578913</v>
      </c>
      <c r="I105" s="2">
        <f t="shared" si="6"/>
        <v>0.25291723606478206</v>
      </c>
      <c r="J105" s="2">
        <f t="shared" si="7"/>
        <v>0.42723732246429275</v>
      </c>
      <c r="K105" s="2">
        <f t="shared" si="8"/>
        <v>1.0532484750702674E-2</v>
      </c>
      <c r="L105" s="2">
        <f t="shared" si="11"/>
        <v>1.1123268104741135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hidden="1" x14ac:dyDescent="0.25">
      <c r="A106" s="2">
        <f t="shared" si="9"/>
        <v>0.47500000000000031</v>
      </c>
      <c r="B106" s="2">
        <f t="shared" si="10"/>
        <v>745.76166784380302</v>
      </c>
      <c r="C106" s="2">
        <f t="shared" si="0"/>
        <v>1.3288696861079883</v>
      </c>
      <c r="D106" s="2">
        <f t="shared" si="1"/>
        <v>-0.18748056872124932</v>
      </c>
      <c r="E106" s="2">
        <f t="shared" si="2"/>
        <v>7.0060287502953192E-2</v>
      </c>
      <c r="F106" s="2">
        <f t="shared" si="3"/>
        <v>0.27800000000000002</v>
      </c>
      <c r="G106" s="2">
        <f t="shared" si="4"/>
        <v>-1.459729969351392E-4</v>
      </c>
      <c r="H106" s="2">
        <f t="shared" si="5"/>
        <v>0.93878810911048716</v>
      </c>
      <c r="I106" s="2">
        <f t="shared" si="6"/>
        <v>0.25450309036508678</v>
      </c>
      <c r="J106" s="2">
        <f t="shared" si="7"/>
        <v>0.43241888863831113</v>
      </c>
      <c r="K106" s="2">
        <f t="shared" si="8"/>
        <v>1.0545577710820488E-2</v>
      </c>
      <c r="L106" s="2">
        <f t="shared" si="11"/>
        <v>1.1228723881849341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hidden="1" x14ac:dyDescent="0.25">
      <c r="A107" s="2">
        <f t="shared" si="9"/>
        <v>0.48000000000000032</v>
      </c>
      <c r="B107" s="2">
        <f t="shared" si="10"/>
        <v>746.01617093416814</v>
      </c>
      <c r="C107" s="2">
        <f t="shared" si="0"/>
        <v>1.3293231841307342</v>
      </c>
      <c r="D107" s="2">
        <f t="shared" si="1"/>
        <v>-0.18733690109308565</v>
      </c>
      <c r="E107" s="2">
        <f t="shared" si="2"/>
        <v>7.0119082776394101E-2</v>
      </c>
      <c r="F107" s="2">
        <f t="shared" si="3"/>
        <v>0.27800000000000002</v>
      </c>
      <c r="G107" s="2">
        <f t="shared" si="4"/>
        <v>-1.4583396713811203E-4</v>
      </c>
      <c r="H107" s="2">
        <f t="shared" si="5"/>
        <v>0.93886727198083364</v>
      </c>
      <c r="I107" s="2">
        <f t="shared" si="6"/>
        <v>0.25611859276903309</v>
      </c>
      <c r="J107" s="2">
        <f t="shared" si="7"/>
        <v>0.43769276943350721</v>
      </c>
      <c r="K107" s="2">
        <f t="shared" si="8"/>
        <v>1.0558837837149311E-2</v>
      </c>
      <c r="L107" s="2">
        <f t="shared" si="11"/>
        <v>1.1334312260220833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hidden="1" x14ac:dyDescent="0.25">
      <c r="A108" s="2">
        <f t="shared" si="9"/>
        <v>0.48500000000000032</v>
      </c>
      <c r="B108" s="2">
        <f t="shared" si="10"/>
        <v>746.27228952693713</v>
      </c>
      <c r="C108" s="2">
        <f t="shared" si="0"/>
        <v>1.3297795608106504</v>
      </c>
      <c r="D108" s="2">
        <f t="shared" si="1"/>
        <v>-0.18719244288611919</v>
      </c>
      <c r="E108" s="2">
        <f t="shared" si="2"/>
        <v>7.0178122482137603E-2</v>
      </c>
      <c r="F108" s="2">
        <f t="shared" si="3"/>
        <v>0.27800000000000002</v>
      </c>
      <c r="G108" s="2">
        <f t="shared" si="4"/>
        <v>-1.4569419139168389E-4</v>
      </c>
      <c r="H108" s="2">
        <f t="shared" si="5"/>
        <v>0.93894682561365639</v>
      </c>
      <c r="I108" s="2">
        <f t="shared" si="6"/>
        <v>0.25776539491249467</v>
      </c>
      <c r="J108" s="2">
        <f t="shared" si="7"/>
        <v>0.44306136563820575</v>
      </c>
      <c r="K108" s="2">
        <f t="shared" si="8"/>
        <v>1.0572272179921396E-2</v>
      </c>
      <c r="L108" s="2">
        <f t="shared" si="11"/>
        <v>1.1440034982020046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hidden="1" x14ac:dyDescent="0.25">
      <c r="A109" s="2">
        <f t="shared" si="9"/>
        <v>0.49000000000000032</v>
      </c>
      <c r="B109" s="2">
        <f t="shared" si="10"/>
        <v>746.53005492184957</v>
      </c>
      <c r="C109" s="2">
        <f t="shared" si="0"/>
        <v>1.3302388719206157</v>
      </c>
      <c r="D109" s="2">
        <f t="shared" si="1"/>
        <v>-0.1870471786208304</v>
      </c>
      <c r="E109" s="2">
        <f t="shared" si="2"/>
        <v>7.0237411648464754E-2</v>
      </c>
      <c r="F109" s="2">
        <f t="shared" si="3"/>
        <v>0.27800000000000002</v>
      </c>
      <c r="G109" s="2">
        <f t="shared" si="4"/>
        <v>-1.4555365503165157E-4</v>
      </c>
      <c r="H109" s="2">
        <f t="shared" si="5"/>
        <v>0.93902677778963972</v>
      </c>
      <c r="I109" s="2">
        <f t="shared" si="6"/>
        <v>0.25944507528457722</v>
      </c>
      <c r="J109" s="2">
        <f t="shared" si="7"/>
        <v>0.44852718051519053</v>
      </c>
      <c r="K109" s="2">
        <f t="shared" si="8"/>
        <v>1.0585887610023775E-2</v>
      </c>
      <c r="L109" s="2">
        <f t="shared" si="11"/>
        <v>1.1545893858120284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hidden="1" x14ac:dyDescent="0.25">
      <c r="A110" s="2">
        <f t="shared" si="9"/>
        <v>0.49500000000000033</v>
      </c>
      <c r="B110" s="2">
        <f t="shared" si="10"/>
        <v>746.78949999713416</v>
      </c>
      <c r="C110" s="2">
        <f t="shared" si="0"/>
        <v>1.330701176046212</v>
      </c>
      <c r="D110" s="2">
        <f t="shared" si="1"/>
        <v>-0.18690109199840171</v>
      </c>
      <c r="E110" s="2">
        <f t="shared" si="2"/>
        <v>7.0296955596448649E-2</v>
      </c>
      <c r="F110" s="2">
        <f t="shared" si="3"/>
        <v>0.27800000000000002</v>
      </c>
      <c r="G110" s="2">
        <f t="shared" si="4"/>
        <v>-1.454123426112283E-4</v>
      </c>
      <c r="H110" s="2">
        <f t="shared" si="5"/>
        <v>0.93910713671654011</v>
      </c>
      <c r="I110" s="2">
        <f t="shared" si="6"/>
        <v>0.26115915711242438</v>
      </c>
      <c r="J110" s="2">
        <f t="shared" si="7"/>
        <v>0.45409282240772547</v>
      </c>
      <c r="K110" s="2">
        <f t="shared" si="8"/>
        <v>1.0599690879081589E-2</v>
      </c>
      <c r="L110" s="2">
        <f t="shared" si="11"/>
        <v>1.1651890766911099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hidden="1" x14ac:dyDescent="0.25">
      <c r="A111" s="2">
        <f t="shared" si="9"/>
        <v>0.50000000000000033</v>
      </c>
      <c r="B111" s="2">
        <f t="shared" si="10"/>
        <v>747.05065915424655</v>
      </c>
      <c r="C111" s="2">
        <f t="shared" si="0"/>
        <v>1.3311665344872532</v>
      </c>
      <c r="D111" s="2">
        <f t="shared" si="1"/>
        <v>-0.18675416593630198</v>
      </c>
      <c r="E111" s="2">
        <f t="shared" si="2"/>
        <v>7.0356759922742484E-2</v>
      </c>
      <c r="F111" s="2">
        <f t="shared" si="3"/>
        <v>0.27800000000000002</v>
      </c>
      <c r="G111" s="2">
        <f t="shared" si="4"/>
        <v>-1.4527023793611921E-4</v>
      </c>
      <c r="H111" s="2">
        <f t="shared" si="5"/>
        <v>0.93918791100806165</v>
      </c>
      <c r="I111" s="2">
        <f t="shared" si="6"/>
        <v>0.26290912394824156</v>
      </c>
      <c r="J111" s="2">
        <f t="shared" si="7"/>
        <v>0.45976100780991119</v>
      </c>
      <c r="K111" s="2">
        <f t="shared" si="8"/>
        <v>1.0613688672279584E-2</v>
      </c>
      <c r="L111" s="2">
        <f t="shared" si="11"/>
        <v>1.1758027653633896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hidden="1" x14ac:dyDescent="0.25">
      <c r="A112" s="2">
        <f t="shared" si="9"/>
        <v>0.50500000000000034</v>
      </c>
      <c r="B112" s="2">
        <f t="shared" si="10"/>
        <v>747.31356827819479</v>
      </c>
      <c r="C112" s="2">
        <f t="shared" si="0"/>
        <v>1.3316350111870896</v>
      </c>
      <c r="D112" s="2">
        <f t="shared" si="1"/>
        <v>-0.18660638259502418</v>
      </c>
      <c r="E112" s="2">
        <f t="shared" si="2"/>
        <v>7.0416830486033116E-2</v>
      </c>
      <c r="F112" s="2">
        <f t="shared" si="3"/>
        <v>0.27800000000000002</v>
      </c>
      <c r="G112" s="2">
        <f t="shared" si="4"/>
        <v>-1.4512732409102506E-4</v>
      </c>
      <c r="H112" s="2">
        <f t="shared" si="5"/>
        <v>0.93926910966763333</v>
      </c>
      <c r="I112" s="2">
        <f t="shared" si="6"/>
        <v>0.26469643331992126</v>
      </c>
      <c r="J112" s="2">
        <f t="shared" si="7"/>
        <v>0.46553456488557787</v>
      </c>
      <c r="K112" s="2">
        <f t="shared" si="8"/>
        <v>1.0627887655094686E-2</v>
      </c>
      <c r="L112" s="2">
        <f t="shared" si="11"/>
        <v>1.1864306530184843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hidden="1" x14ac:dyDescent="0.25">
      <c r="A113" s="2">
        <f t="shared" si="9"/>
        <v>0.51000000000000034</v>
      </c>
      <c r="B113" s="2">
        <f t="shared" si="10"/>
        <v>747.57826471151475</v>
      </c>
      <c r="C113" s="2">
        <f t="shared" si="0"/>
        <v>1.3321066726862343</v>
      </c>
      <c r="D113" s="2">
        <f t="shared" si="1"/>
        <v>-0.18645772339711855</v>
      </c>
      <c r="E113" s="2">
        <f t="shared" si="2"/>
        <v>7.0477173396664844E-2</v>
      </c>
      <c r="F113" s="2">
        <f t="shared" si="3"/>
        <v>0.27800000000000002</v>
      </c>
      <c r="G113" s="2">
        <f t="shared" si="4"/>
        <v>-1.4498358345868567E-4</v>
      </c>
      <c r="H113" s="2">
        <f t="shared" si="5"/>
        <v>0.93935074207643843</v>
      </c>
      <c r="I113" s="2">
        <f t="shared" si="6"/>
        <v>0.26652252875481286</v>
      </c>
      <c r="J113" s="2">
        <f t="shared" si="7"/>
        <v>0.47141643742559908</v>
      </c>
      <c r="K113" s="2">
        <f t="shared" si="8"/>
        <v>1.0642294514946049E-2</v>
      </c>
      <c r="L113" s="2">
        <f t="shared" si="11"/>
        <v>1.1970729475334303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hidden="1" x14ac:dyDescent="0.25">
      <c r="A114" s="2">
        <f t="shared" si="9"/>
        <v>0.51500000000000035</v>
      </c>
      <c r="B114" s="2">
        <f t="shared" si="10"/>
        <v>747.84478724026951</v>
      </c>
      <c r="C114" s="2">
        <f t="shared" si="0"/>
        <v>1.3325815880974152</v>
      </c>
      <c r="D114" s="2">
        <f t="shared" si="1"/>
        <v>-0.18630816903947889</v>
      </c>
      <c r="E114" s="2">
        <f t="shared" si="2"/>
        <v>7.0537795009012486E-2</v>
      </c>
      <c r="F114" s="2">
        <f t="shared" si="3"/>
        <v>0.27800000000000002</v>
      </c>
      <c r="G114" s="2">
        <f t="shared" si="4"/>
        <v>-1.4483899773239754E-4</v>
      </c>
      <c r="H114" s="2">
        <f t="shared" si="5"/>
        <v>0.93943281798515488</v>
      </c>
      <c r="I114" s="2">
        <f t="shared" si="6"/>
        <v>0.26838885044230543</v>
      </c>
      <c r="J114" s="2">
        <f t="shared" si="7"/>
        <v>0.47740968923863641</v>
      </c>
      <c r="K114" s="2">
        <f t="shared" si="8"/>
        <v>1.0656915998628729E-2</v>
      </c>
      <c r="L114" s="2">
        <f t="shared" si="11"/>
        <v>1.207729863532059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hidden="1" x14ac:dyDescent="0.25">
      <c r="A115" s="2">
        <f t="shared" si="9"/>
        <v>0.52000000000000035</v>
      </c>
      <c r="B115" s="2">
        <f t="shared" si="10"/>
        <v>748.11317609071182</v>
      </c>
      <c r="C115" s="2">
        <f t="shared" si="0"/>
        <v>1.3330598290996289</v>
      </c>
      <c r="D115" s="2">
        <f t="shared" si="1"/>
        <v>-0.18615769949968866</v>
      </c>
      <c r="E115" s="2">
        <f t="shared" si="2"/>
        <v>7.0598701916251894E-2</v>
      </c>
      <c r="F115" s="2">
        <f t="shared" si="3"/>
        <v>0.27800000000000002</v>
      </c>
      <c r="G115" s="2">
        <f t="shared" si="4"/>
        <v>-1.4469354792279065E-4</v>
      </c>
      <c r="H115" s="2">
        <f t="shared" si="5"/>
        <v>0.93951534750894805</v>
      </c>
      <c r="I115" s="2">
        <f t="shared" si="6"/>
        <v>0.27029684476315574</v>
      </c>
      <c r="J115" s="2">
        <f t="shared" si="7"/>
        <v>0.48351750897511392</v>
      </c>
      <c r="K115" s="2">
        <f t="shared" si="8"/>
        <v>1.0671758946276016E-2</v>
      </c>
      <c r="L115" s="2">
        <f t="shared" si="11"/>
        <v>1.2184016224783349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hidden="1" x14ac:dyDescent="0.25">
      <c r="A116" s="2">
        <f t="shared" si="9"/>
        <v>0.52500000000000036</v>
      </c>
      <c r="B116" s="2">
        <f t="shared" si="10"/>
        <v>748.38347293547497</v>
      </c>
      <c r="C116" s="2">
        <f t="shared" si="0"/>
        <v>1.3335414699491712</v>
      </c>
      <c r="D116" s="2">
        <f t="shared" si="1"/>
        <v>-0.18600629403710031</v>
      </c>
      <c r="E116" s="2">
        <f t="shared" si="2"/>
        <v>7.065990094722982E-2</v>
      </c>
      <c r="F116" s="2">
        <f t="shared" si="3"/>
        <v>0.27800000000000002</v>
      </c>
      <c r="G116" s="2">
        <f t="shared" si="4"/>
        <v>-1.4454721435952264E-4</v>
      </c>
      <c r="H116" s="2">
        <f t="shared" si="5"/>
        <v>0.93959834112533303</v>
      </c>
      <c r="I116" s="2">
        <f t="shared" si="6"/>
        <v>0.2722479728826635</v>
      </c>
      <c r="J116" s="2">
        <f t="shared" si="7"/>
        <v>0.48974321538847859</v>
      </c>
      <c r="K116" s="2">
        <f t="shared" si="8"/>
        <v>1.068683032249753E-2</v>
      </c>
      <c r="L116" s="2">
        <f t="shared" si="11"/>
        <v>1.2290884528008326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hidden="1" x14ac:dyDescent="0.25">
      <c r="A117" s="2">
        <f t="shared" si="9"/>
        <v>0.53000000000000036</v>
      </c>
      <c r="B117" s="2">
        <f t="shared" si="10"/>
        <v>748.65572090835758</v>
      </c>
      <c r="C117" s="2">
        <f t="shared" si="0"/>
        <v>1.3340265875059827</v>
      </c>
      <c r="D117" s="2">
        <f t="shared" si="1"/>
        <v>-0.18585393118920712</v>
      </c>
      <c r="E117" s="2">
        <f t="shared" si="2"/>
        <v>7.0721399165185758E-2</v>
      </c>
      <c r="F117" s="2">
        <f t="shared" si="3"/>
        <v>0.27800000000000002</v>
      </c>
      <c r="G117" s="2">
        <f t="shared" si="4"/>
        <v>-1.4439997668843488E-4</v>
      </c>
      <c r="H117" s="2">
        <f t="shared" si="5"/>
        <v>0.93968180967458725</v>
      </c>
      <c r="I117" s="2">
        <f t="shared" si="6"/>
        <v>0.2742437185769005</v>
      </c>
      <c r="J117" s="2">
        <f t="shared" si="7"/>
        <v>0.49609026304210979</v>
      </c>
      <c r="K117" s="2">
        <f t="shared" si="8"/>
        <v>1.0702137245251028E-2</v>
      </c>
      <c r="L117" s="2">
        <f t="shared" si="11"/>
        <v>1.2397905900460835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hidden="1" x14ac:dyDescent="0.25">
      <c r="A118" s="2">
        <f t="shared" si="9"/>
        <v>0.53500000000000036</v>
      </c>
      <c r="B118" s="2">
        <f t="shared" si="10"/>
        <v>748.92996462693452</v>
      </c>
      <c r="C118" s="2">
        <f t="shared" si="0"/>
        <v>1.3345152612739388</v>
      </c>
      <c r="D118" s="2">
        <f t="shared" si="1"/>
        <v>-0.18570058876376946</v>
      </c>
      <c r="E118" s="2">
        <f t="shared" si="2"/>
        <v>7.0783203868118261E-2</v>
      </c>
      <c r="F118" s="2">
        <f t="shared" si="3"/>
        <v>0.27800000000000002</v>
      </c>
      <c r="G118" s="2">
        <f t="shared" si="4"/>
        <v>-1.4425181386462286E-4</v>
      </c>
      <c r="H118" s="2">
        <f t="shared" si="5"/>
        <v>0.93976576436244841</v>
      </c>
      <c r="I118" s="2">
        <f t="shared" si="6"/>
        <v>0.27628559543926923</v>
      </c>
      <c r="J118" s="2">
        <f t="shared" si="7"/>
        <v>0.50256224847407971</v>
      </c>
      <c r="K118" s="2">
        <f t="shared" si="8"/>
        <v>1.0717687012936445E-2</v>
      </c>
      <c r="L118" s="2">
        <f t="shared" si="11"/>
        <v>1.2505082770590199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hidden="1" x14ac:dyDescent="0.25">
      <c r="A119" s="2">
        <f t="shared" si="9"/>
        <v>0.54000000000000037</v>
      </c>
      <c r="B119" s="2">
        <f t="shared" si="10"/>
        <v>749.2062502223738</v>
      </c>
      <c r="C119" s="2">
        <f t="shared" si="0"/>
        <v>1.3350075734539804</v>
      </c>
      <c r="D119" s="2">
        <f t="shared" si="1"/>
        <v>-0.18554624382707391</v>
      </c>
      <c r="E119" s="2">
        <f t="shared" si="2"/>
        <v>7.0845322590623885E-2</v>
      </c>
      <c r="F119" s="2">
        <f t="shared" si="3"/>
        <v>0.27800000000000002</v>
      </c>
      <c r="G119" s="2">
        <f t="shared" si="4"/>
        <v>-1.4410270414179081E-4</v>
      </c>
      <c r="H119" s="2">
        <f t="shared" si="5"/>
        <v>0.93985021676487979</v>
      </c>
      <c r="I119" s="2">
        <f t="shared" si="6"/>
        <v>0.2783751535950662</v>
      </c>
      <c r="J119" s="2">
        <f t="shared" si="7"/>
        <v>0.50916291683588266</v>
      </c>
      <c r="K119" s="2">
        <f t="shared" si="8"/>
        <v>1.0733487130138815E-2</v>
      </c>
      <c r="L119" s="2">
        <f t="shared" si="11"/>
        <v>1.2612417641891587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hidden="1" x14ac:dyDescent="0.25">
      <c r="A120" s="2">
        <f t="shared" si="9"/>
        <v>0.54500000000000037</v>
      </c>
      <c r="B120" s="2">
        <f t="shared" si="10"/>
        <v>749.4846253759689</v>
      </c>
      <c r="C120" s="2">
        <f t="shared" si="0"/>
        <v>1.3355036090092103</v>
      </c>
      <c r="D120" s="2">
        <f t="shared" si="1"/>
        <v>-0.18539087268862925</v>
      </c>
      <c r="E120" s="2">
        <f t="shared" si="2"/>
        <v>7.0907763107068741E-2</v>
      </c>
      <c r="F120" s="2">
        <f t="shared" si="3"/>
        <v>0.27800000000000002</v>
      </c>
      <c r="G120" s="2">
        <f t="shared" si="4"/>
        <v>-1.4395262505818837E-4</v>
      </c>
      <c r="H120" s="2">
        <f t="shared" si="5"/>
        <v>0.93993517883472588</v>
      </c>
      <c r="I120" s="2">
        <f t="shared" si="6"/>
        <v>0.28051398603566408</v>
      </c>
      <c r="J120" s="2">
        <f t="shared" si="7"/>
        <v>0.51589616902503221</v>
      </c>
      <c r="K120" s="2">
        <f t="shared" si="8"/>
        <v>1.0749545332396124E-2</v>
      </c>
      <c r="L120" s="2">
        <f t="shared" si="11"/>
        <v>1.2719913095215547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hidden="1" x14ac:dyDescent="0.25">
      <c r="A121" s="2">
        <f t="shared" si="9"/>
        <v>0.55000000000000038</v>
      </c>
      <c r="B121" s="2">
        <f t="shared" si="10"/>
        <v>749.76513936200456</v>
      </c>
      <c r="C121" s="2">
        <f t="shared" si="0"/>
        <v>1.3360034557412768</v>
      </c>
      <c r="D121" s="2">
        <f t="shared" si="1"/>
        <v>-0.18523445088254054</v>
      </c>
      <c r="E121" s="2">
        <f t="shared" si="2"/>
        <v>7.097053343597709E-2</v>
      </c>
      <c r="F121" s="2">
        <f t="shared" si="3"/>
        <v>0.27800000000000002</v>
      </c>
      <c r="G121" s="2">
        <f t="shared" si="4"/>
        <v>-1.4380155341936712E-4</v>
      </c>
      <c r="H121" s="2">
        <f t="shared" si="5"/>
        <v>0.94002066291011688</v>
      </c>
      <c r="I121" s="2">
        <f t="shared" si="6"/>
        <v>0.28270373467069926</v>
      </c>
      <c r="J121" s="2">
        <f t="shared" si="7"/>
        <v>0.52276606933516456</v>
      </c>
      <c r="K121" s="2">
        <f t="shared" si="8"/>
        <v>1.0765869610327217E-2</v>
      </c>
      <c r="L121" s="2">
        <f t="shared" si="11"/>
        <v>1.2827571791318819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hidden="1" x14ac:dyDescent="0.25">
      <c r="A122" s="2">
        <f t="shared" si="9"/>
        <v>0.55500000000000038</v>
      </c>
      <c r="B122" s="2">
        <f t="shared" si="10"/>
        <v>750.04784309667525</v>
      </c>
      <c r="C122" s="2">
        <f t="shared" si="0"/>
        <v>1.3365072043775394</v>
      </c>
      <c r="D122" s="2">
        <f t="shared" si="1"/>
        <v>-0.18507695314574812</v>
      </c>
      <c r="E122" s="2">
        <f t="shared" si="2"/>
        <v>7.10336418455456E-2</v>
      </c>
      <c r="F122" s="2">
        <f t="shared" si="3"/>
        <v>0.27800000000000002</v>
      </c>
      <c r="G122" s="2">
        <f t="shared" si="4"/>
        <v>-1.4364946527794124E-4</v>
      </c>
      <c r="H122" s="2">
        <f t="shared" si="5"/>
        <v>0.94010668172450884</v>
      </c>
      <c r="I122" s="2">
        <f t="shared" si="6"/>
        <v>0.2849460961850529</v>
      </c>
      <c r="J122" s="2">
        <f t="shared" si="7"/>
        <v>0.52977685365118365</v>
      </c>
      <c r="K122" s="2">
        <f t="shared" si="8"/>
        <v>1.0782468233418906E-2</v>
      </c>
      <c r="L122" s="2">
        <f t="shared" si="11"/>
        <v>1.2935396473653009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hidden="1" x14ac:dyDescent="0.25">
      <c r="A123" s="2">
        <f t="shared" si="9"/>
        <v>0.56000000000000039</v>
      </c>
      <c r="B123" s="2">
        <f t="shared" si="10"/>
        <v>750.33278919286033</v>
      </c>
      <c r="C123" s="2">
        <f t="shared" si="0"/>
        <v>1.3370149486686747</v>
      </c>
      <c r="D123" s="2">
        <f t="shared" si="1"/>
        <v>-0.18491835339326698</v>
      </c>
      <c r="E123" s="2">
        <f t="shared" si="2"/>
        <v>7.1097096860211817E-2</v>
      </c>
      <c r="F123" s="2">
        <f t="shared" si="3"/>
        <v>0.27800000000000002</v>
      </c>
      <c r="G123" s="2">
        <f t="shared" si="4"/>
        <v>-1.4349633591048723E-4</v>
      </c>
      <c r="H123" s="2">
        <f t="shared" si="5"/>
        <v>0.94019324841827745</v>
      </c>
      <c r="I123" s="2">
        <f t="shared" si="6"/>
        <v>0.28724282777818166</v>
      </c>
      <c r="J123" s="2">
        <f t="shared" si="7"/>
        <v>0.53693293822092092</v>
      </c>
      <c r="K123" s="2">
        <f t="shared" si="8"/>
        <v>1.0799349773743387E-2</v>
      </c>
      <c r="L123" s="2">
        <f t="shared" si="11"/>
        <v>1.3043389971390442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hidden="1" x14ac:dyDescent="0.25">
      <c r="A124" s="2">
        <f t="shared" si="9"/>
        <v>0.56500000000000039</v>
      </c>
      <c r="B124" s="2">
        <f t="shared" si="10"/>
        <v>750.62003202063852</v>
      </c>
      <c r="C124" s="2">
        <f t="shared" si="0"/>
        <v>1.3375267854965047</v>
      </c>
      <c r="D124" s="2">
        <f t="shared" si="1"/>
        <v>-0.18475862469052282</v>
      </c>
      <c r="E124" s="2">
        <f t="shared" si="2"/>
        <v>7.116090726822126E-2</v>
      </c>
      <c r="F124" s="2">
        <f t="shared" si="3"/>
        <v>0.27800000000000002</v>
      </c>
      <c r="G124" s="2">
        <f t="shared" si="4"/>
        <v>-1.4334213979167978E-4</v>
      </c>
      <c r="H124" s="2">
        <f t="shared" si="5"/>
        <v>0.94028037655180208</v>
      </c>
      <c r="I124" s="2">
        <f t="shared" si="6"/>
        <v>0.28959575285653222</v>
      </c>
      <c r="J124" s="2">
        <f t="shared" si="7"/>
        <v>0.54423892903873738</v>
      </c>
      <c r="K124" s="2">
        <f t="shared" si="8"/>
        <v>1.0816523129857229E-2</v>
      </c>
      <c r="L124" s="2">
        <f t="shared" si="11"/>
        <v>1.3151555202689014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hidden="1" x14ac:dyDescent="0.25">
      <c r="A125" s="2">
        <f t="shared" si="9"/>
        <v>0.5700000000000004</v>
      </c>
      <c r="B125" s="2">
        <f t="shared" si="10"/>
        <v>750.909627773495</v>
      </c>
      <c r="C125" s="2">
        <f t="shared" si="0"/>
        <v>1.3380428149919725</v>
      </c>
      <c r="D125" s="2">
        <f t="shared" si="1"/>
        <v>-0.18459773922283812</v>
      </c>
      <c r="E125" s="2">
        <f t="shared" si="2"/>
        <v>7.1225082130154743E-2</v>
      </c>
      <c r="F125" s="2">
        <f t="shared" si="3"/>
        <v>0.27800000000000002</v>
      </c>
      <c r="G125" s="2">
        <f t="shared" si="4"/>
        <v>-1.4318685056571956E-4</v>
      </c>
      <c r="H125" s="2">
        <f t="shared" si="5"/>
        <v>0.94036808012000106</v>
      </c>
      <c r="I125" s="2">
        <f t="shared" si="6"/>
        <v>0.29200676674228504</v>
      </c>
      <c r="J125" s="2">
        <f t="shared" si="7"/>
        <v>0.55169963188102977</v>
      </c>
      <c r="K125" s="2">
        <f t="shared" si="8"/>
        <v>1.0833997551110839E-2</v>
      </c>
      <c r="L125" s="2">
        <f t="shared" si="11"/>
        <v>1.3259895178200123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hidden="1" x14ac:dyDescent="0.25">
      <c r="A126" s="2">
        <f t="shared" si="9"/>
        <v>0.5750000000000004</v>
      </c>
      <c r="B126" s="2">
        <f t="shared" si="10"/>
        <v>751.20163454023725</v>
      </c>
      <c r="C126" s="2">
        <f t="shared" si="0"/>
        <v>1.3385631406632879</v>
      </c>
      <c r="D126" s="2">
        <f t="shared" si="1"/>
        <v>-0.18443566826208996</v>
      </c>
      <c r="E126" s="2">
        <f t="shared" si="2"/>
        <v>7.1289630788389458E-2</v>
      </c>
      <c r="F126" s="2">
        <f t="shared" si="3"/>
        <v>0.27800000000000002</v>
      </c>
      <c r="G126" s="2">
        <f t="shared" si="4"/>
        <v>-1.4303044101507794E-4</v>
      </c>
      <c r="H126" s="2">
        <f t="shared" si="5"/>
        <v>0.94045637356829659</v>
      </c>
      <c r="I126" s="2">
        <f t="shared" si="6"/>
        <v>0.29447784245852893</v>
      </c>
      <c r="J126" s="2">
        <f t="shared" si="7"/>
        <v>0.55932006303787019</v>
      </c>
      <c r="K126" s="2">
        <f t="shared" si="8"/>
        <v>1.0851782662589696E-2</v>
      </c>
      <c r="L126" s="2">
        <f t="shared" si="11"/>
        <v>1.3368413004826021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x14ac:dyDescent="0.25">
      <c r="A127" s="2">
        <f t="shared" si="9"/>
        <v>0.5800000000000004</v>
      </c>
      <c r="B127" s="2">
        <f t="shared" si="10"/>
        <v>751.49611238269574</v>
      </c>
      <c r="C127" s="2">
        <f t="shared" si="0"/>
        <v>1.3390878695343829</v>
      </c>
      <c r="D127" s="2">
        <f t="shared" si="1"/>
        <v>-0.18427238213052841</v>
      </c>
      <c r="E127" s="2">
        <f t="shared" si="2"/>
        <v>7.1354562877481126E-2</v>
      </c>
      <c r="F127" s="2">
        <f t="shared" si="3"/>
        <v>0.27800000000000002</v>
      </c>
      <c r="G127" s="2">
        <f t="shared" si="4"/>
        <v>-1.4287288302655232E-4</v>
      </c>
      <c r="H127" s="2">
        <f t="shared" si="5"/>
        <v>0.94054527181000558</v>
      </c>
      <c r="I127" s="2">
        <f t="shared" si="6"/>
        <v>0.29701103664604817</v>
      </c>
      <c r="J127" s="2">
        <f t="shared" si="7"/>
        <v>0.56710546079008761</v>
      </c>
      <c r="K127" s="2">
        <f t="shared" si="8"/>
        <v>1.0869888490895173E-2</v>
      </c>
      <c r="L127" s="2">
        <f t="shared" si="11"/>
        <v>1.3477111889734972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x14ac:dyDescent="0.25">
      <c r="A128" s="2">
        <f t="shared" si="9"/>
        <v>0.58500000000000041</v>
      </c>
      <c r="B128" s="2">
        <f t="shared" si="10"/>
        <v>751.79312341934178</v>
      </c>
      <c r="C128" s="2">
        <f t="shared" si="0"/>
        <v>1.3396171122939089</v>
      </c>
      <c r="D128" s="2">
        <f t="shared" si="1"/>
        <v>-0.18410785016171521</v>
      </c>
      <c r="E128" s="2">
        <f t="shared" si="2"/>
        <v>7.1419888335463214E-2</v>
      </c>
      <c r="F128" s="2">
        <f t="shared" si="3"/>
        <v>0.27800000000000002</v>
      </c>
      <c r="G128" s="2">
        <f t="shared" si="4"/>
        <v>-1.4271414755459764E-4</v>
      </c>
      <c r="H128" s="2">
        <f t="shared" si="5"/>
        <v>0.94063479024516605</v>
      </c>
      <c r="I128" s="2">
        <f t="shared" si="6"/>
        <v>0.29960849566534675</v>
      </c>
      <c r="J128" s="2">
        <f t="shared" si="7"/>
        <v>0.57506129768614056</v>
      </c>
      <c r="K128" s="2">
        <f t="shared" si="8"/>
        <v>1.0888325490970635E-2</v>
      </c>
      <c r="L128" s="2">
        <f t="shared" si="11"/>
        <v>1.3585995144644678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x14ac:dyDescent="0.25">
      <c r="A129" s="2">
        <f t="shared" si="9"/>
        <v>0.59000000000000041</v>
      </c>
      <c r="B129" s="2">
        <f t="shared" si="10"/>
        <v>752.09273191500711</v>
      </c>
      <c r="C129" s="2">
        <f t="shared" si="0"/>
        <v>1.3401509834551089</v>
      </c>
      <c r="D129" s="2">
        <f t="shared" si="1"/>
        <v>-0.18394204065851327</v>
      </c>
      <c r="E129" s="2">
        <f t="shared" si="2"/>
        <v>7.1485617416072011E-2</v>
      </c>
      <c r="F129" s="2">
        <f t="shared" si="3"/>
        <v>0.27800000000000002</v>
      </c>
      <c r="G129" s="2">
        <f t="shared" si="4"/>
        <v>-1.425542045818719E-4</v>
      </c>
      <c r="H129" s="2">
        <f t="shared" si="5"/>
        <v>0.94072494478082669</v>
      </c>
      <c r="I129" s="2">
        <f t="shared" si="6"/>
        <v>0.30227246193532142</v>
      </c>
      <c r="J129" s="2">
        <f t="shared" si="7"/>
        <v>0.58319329367888173</v>
      </c>
      <c r="K129" s="2">
        <f t="shared" si="8"/>
        <v>1.0907104574174332E-2</v>
      </c>
      <c r="L129" s="2">
        <f t="shared" si="11"/>
        <v>1.3695066190386422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x14ac:dyDescent="0.25">
      <c r="A130" s="2">
        <f t="shared" si="9"/>
        <v>0.59500000000000042</v>
      </c>
      <c r="B130" s="2">
        <f t="shared" si="10"/>
        <v>752.39500437694244</v>
      </c>
      <c r="C130" s="2">
        <f t="shared" si="0"/>
        <v>1.3406896015269822</v>
      </c>
      <c r="D130" s="2">
        <f t="shared" si="1"/>
        <v>-0.18377492084803351</v>
      </c>
      <c r="E130" s="2">
        <f t="shared" si="2"/>
        <v>7.1551760701913852E-2</v>
      </c>
      <c r="F130" s="2">
        <f t="shared" si="3"/>
        <v>0.27800000000000002</v>
      </c>
      <c r="G130" s="2">
        <f t="shared" si="4"/>
        <v>-1.4239302307691076E-4</v>
      </c>
      <c r="H130" s="2">
        <f t="shared" si="5"/>
        <v>0.9408157518528385</v>
      </c>
      <c r="I130" s="2">
        <f t="shared" si="6"/>
        <v>0.30500528055913251</v>
      </c>
      <c r="J130" s="2">
        <f t="shared" si="7"/>
        <v>0.59150743018846808</v>
      </c>
      <c r="K130" s="2">
        <f t="shared" si="8"/>
        <v>1.0926237137801222E-2</v>
      </c>
      <c r="L130" s="2">
        <f t="shared" si="11"/>
        <v>1.3804328561764434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x14ac:dyDescent="0.25">
      <c r="A131" s="21">
        <f t="shared" si="9"/>
        <v>0.60000000000000042</v>
      </c>
      <c r="B131" s="21">
        <f t="shared" si="10"/>
        <v>752.7000096575016</v>
      </c>
      <c r="C131" s="21">
        <f t="shared" si="0"/>
        <v>1.3412330891972586</v>
      </c>
      <c r="D131" s="21">
        <f t="shared" si="1"/>
        <v>-0.18360645683341761</v>
      </c>
      <c r="E131" s="21">
        <f t="shared" si="2"/>
        <v>7.1618329118599985E-2</v>
      </c>
      <c r="F131" s="21">
        <f t="shared" si="3"/>
        <v>0.27800000000000002</v>
      </c>
      <c r="G131" s="21">
        <f t="shared" si="4"/>
        <v>-1.4223057094881858E-4</v>
      </c>
      <c r="H131" s="21">
        <f t="shared" si="5"/>
        <v>0.94090722844920127</v>
      </c>
      <c r="I131" s="22">
        <f t="shared" si="6"/>
        <v>0.30780940628894543</v>
      </c>
      <c r="J131" s="21">
        <f t="shared" si="7"/>
        <v>0.60000996516418692</v>
      </c>
      <c r="K131" s="23">
        <f t="shared" si="8"/>
        <v>1.0945735096263398E-2</v>
      </c>
      <c r="L131" s="24">
        <f t="shared" si="11"/>
        <v>1.3913785912727068</v>
      </c>
      <c r="M131" s="31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" x14ac:dyDescent="0.25">
      <c r="A132" s="2">
        <f t="shared" si="9"/>
        <v>0.60500000000000043</v>
      </c>
      <c r="B132" s="2">
        <f t="shared" si="10"/>
        <v>753.00781906379052</v>
      </c>
      <c r="C132" s="2">
        <f t="shared" si="0"/>
        <v>1.3417815735277805</v>
      </c>
      <c r="D132" s="2">
        <f t="shared" si="1"/>
        <v>-0.18343661354231106</v>
      </c>
      <c r="E132" s="2">
        <f t="shared" si="2"/>
        <v>7.1685333949884036E-2</v>
      </c>
      <c r="F132" s="2">
        <f t="shared" si="3"/>
        <v>0.27800000000000002</v>
      </c>
      <c r="G132" s="2">
        <f t="shared" si="4"/>
        <v>-1.4206681499884214E-4</v>
      </c>
      <c r="H132" s="2">
        <f t="shared" si="5"/>
        <v>0.94099939213502992</v>
      </c>
      <c r="I132" s="2">
        <f t="shared" si="6"/>
        <v>0.31068741088058544</v>
      </c>
      <c r="J132" s="2">
        <f t="shared" si="7"/>
        <v>0.60870744922557307</v>
      </c>
      <c r="K132" s="2">
        <f t="shared" si="8"/>
        <v>1.0965610914140632E-2</v>
      </c>
      <c r="L132" s="2">
        <f t="shared" si="11"/>
        <v>1.4023442021868475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x14ac:dyDescent="0.25">
      <c r="A136" s="1" t="s">
        <v>28</v>
      </c>
      <c r="B136" s="33" t="s">
        <v>29</v>
      </c>
      <c r="C136" s="1" t="s">
        <v>42</v>
      </c>
      <c r="D136" s="1" t="s">
        <v>36</v>
      </c>
      <c r="E136" s="1" t="s">
        <v>37</v>
      </c>
      <c r="F136" s="1" t="s">
        <v>38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x14ac:dyDescent="0.25">
      <c r="A137" s="34" t="s">
        <v>44</v>
      </c>
      <c r="B137" s="34">
        <f>$O$3</f>
        <v>653.15</v>
      </c>
      <c r="C137" s="34">
        <f t="shared" ref="C137:C258" si="12">$O$5*((($R$1*$R$2*($R$3-B137)*8.314*B137*(1+A137))/(D137*$O$1*(1-A137)))-($O$2))/((1-A137)*C$5+A137*(G$5+K$5))</f>
        <v>188.26306296331902</v>
      </c>
      <c r="D137" s="34">
        <f t="shared" ref="D137:D258" si="13">1.17*10^15*EXP(-53000/((2*B137)))</f>
        <v>2.8036601552034451E-3</v>
      </c>
      <c r="E137" s="34">
        <f t="shared" ref="E137:E258" si="14">$O$5*(8.314*B137*$B$7*(1+A137)/(D137*$O$1*(1-A137)))</f>
        <v>0.54008515511317901</v>
      </c>
      <c r="F137" s="34">
        <f>E137</f>
        <v>0.54008515511317901</v>
      </c>
      <c r="G137" s="3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x14ac:dyDescent="0.25">
      <c r="A138" s="34">
        <f t="shared" ref="A138:A258" si="15">A137+$O$5</f>
        <v>5.0000000000000001E-3</v>
      </c>
      <c r="B138" s="34">
        <f t="shared" ref="B138:B258" si="16">B137+C137</f>
        <v>841.41306296331902</v>
      </c>
      <c r="C138" s="34">
        <f t="shared" si="12"/>
        <v>-2.6502340058830316</v>
      </c>
      <c r="D138" s="34">
        <f t="shared" si="13"/>
        <v>24.560560815380992</v>
      </c>
      <c r="E138" s="34">
        <f t="shared" si="14"/>
        <v>8.0221103309728193E-5</v>
      </c>
      <c r="F138" s="34">
        <f t="shared" ref="F138:F258" si="17">F137+E138</f>
        <v>0.54016537621648875</v>
      </c>
      <c r="G138" s="3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x14ac:dyDescent="0.25">
      <c r="A139" s="34">
        <f t="shared" si="15"/>
        <v>0.01</v>
      </c>
      <c r="B139" s="34">
        <f t="shared" si="16"/>
        <v>838.762828957436</v>
      </c>
      <c r="C139" s="34">
        <f t="shared" si="12"/>
        <v>-2.6497318191436712</v>
      </c>
      <c r="D139" s="34">
        <f t="shared" si="13"/>
        <v>22.23413039252307</v>
      </c>
      <c r="E139" s="34">
        <f t="shared" si="14"/>
        <v>8.922362943909962E-5</v>
      </c>
      <c r="F139" s="34">
        <f t="shared" si="17"/>
        <v>0.54025459984592783</v>
      </c>
      <c r="G139" s="3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x14ac:dyDescent="0.25">
      <c r="A140" s="34">
        <f t="shared" si="15"/>
        <v>1.4999999999999999E-2</v>
      </c>
      <c r="B140" s="34">
        <f t="shared" si="16"/>
        <v>836.11309713829235</v>
      </c>
      <c r="C140" s="34">
        <f t="shared" si="12"/>
        <v>-2.6489750701745756</v>
      </c>
      <c r="D140" s="34">
        <f t="shared" si="13"/>
        <v>20.115753577096385</v>
      </c>
      <c r="E140" s="34">
        <f t="shared" si="14"/>
        <v>9.9296332956555155E-5</v>
      </c>
      <c r="F140" s="34">
        <f t="shared" si="17"/>
        <v>0.54035389617888441</v>
      </c>
      <c r="G140" s="3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x14ac:dyDescent="0.25">
      <c r="A141" s="34">
        <f t="shared" si="15"/>
        <v>0.02</v>
      </c>
      <c r="B141" s="34">
        <f t="shared" si="16"/>
        <v>833.46412206811772</v>
      </c>
      <c r="C141" s="34">
        <f t="shared" si="12"/>
        <v>-2.647929253780124</v>
      </c>
      <c r="D141" s="34">
        <f t="shared" si="13"/>
        <v>18.188149555009282</v>
      </c>
      <c r="E141" s="34">
        <f t="shared" si="14"/>
        <v>1.1057250990460642E-4</v>
      </c>
      <c r="F141" s="34">
        <f t="shared" si="17"/>
        <v>0.54046446868878906</v>
      </c>
      <c r="G141" s="3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hidden="1" x14ac:dyDescent="0.25">
      <c r="A142" s="34">
        <f t="shared" si="15"/>
        <v>2.5000000000000001E-2</v>
      </c>
      <c r="B142" s="34">
        <f t="shared" si="16"/>
        <v>830.81619281433757</v>
      </c>
      <c r="C142" s="34">
        <f t="shared" si="12"/>
        <v>-2.6465551188256371</v>
      </c>
      <c r="D142" s="34">
        <f t="shared" si="13"/>
        <v>16.43535890184608</v>
      </c>
      <c r="E142" s="34">
        <f t="shared" si="14"/>
        <v>1.2320254768648705E-4</v>
      </c>
      <c r="F142" s="34">
        <f t="shared" si="17"/>
        <v>0.54058767123647555</v>
      </c>
      <c r="G142" s="3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hidden="1" x14ac:dyDescent="0.25">
      <c r="A143" s="34">
        <f t="shared" si="15"/>
        <v>3.0000000000000002E-2</v>
      </c>
      <c r="B143" s="34">
        <f t="shared" si="16"/>
        <v>828.16963769551194</v>
      </c>
      <c r="C143" s="34">
        <f t="shared" si="12"/>
        <v>-2.6448080192287278</v>
      </c>
      <c r="D143" s="34">
        <f t="shared" si="13"/>
        <v>14.842651862125264</v>
      </c>
      <c r="E143" s="34">
        <f t="shared" si="14"/>
        <v>1.3735610671974089E-4</v>
      </c>
      <c r="F143" s="34">
        <f t="shared" si="17"/>
        <v>0.54072502734319527</v>
      </c>
      <c r="G143" s="3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hidden="1" x14ac:dyDescent="0.25">
      <c r="A144" s="34">
        <f t="shared" si="15"/>
        <v>3.5000000000000003E-2</v>
      </c>
      <c r="B144" s="34">
        <f t="shared" si="16"/>
        <v>825.52482967628316</v>
      </c>
      <c r="C144" s="34">
        <f t="shared" si="12"/>
        <v>-2.6426371820881585</v>
      </c>
      <c r="D144" s="34">
        <f t="shared" si="13"/>
        <v>13.39644229426391</v>
      </c>
      <c r="E144" s="34">
        <f t="shared" si="14"/>
        <v>1.5322455819822439E-4</v>
      </c>
      <c r="F144" s="34">
        <f t="shared" si="17"/>
        <v>0.54087825190139349</v>
      </c>
      <c r="G144" s="3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hidden="1" x14ac:dyDescent="0.25">
      <c r="A145" s="34">
        <f t="shared" si="15"/>
        <v>0.04</v>
      </c>
      <c r="B145" s="34">
        <f t="shared" si="16"/>
        <v>822.88219249419501</v>
      </c>
      <c r="C145" s="34">
        <f t="shared" si="12"/>
        <v>-2.639984884961013</v>
      </c>
      <c r="D145" s="34">
        <f t="shared" si="13"/>
        <v>12.084206979294018</v>
      </c>
      <c r="E145" s="34">
        <f t="shared" si="14"/>
        <v>1.7102369839985316E-4</v>
      </c>
      <c r="F145" s="34">
        <f t="shared" si="17"/>
        <v>0.54104927559979332</v>
      </c>
      <c r="G145" s="3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hidden="1" x14ac:dyDescent="0.25">
      <c r="A146" s="34">
        <f t="shared" si="15"/>
        <v>4.4999999999999998E-2</v>
      </c>
      <c r="B146" s="34">
        <f t="shared" si="16"/>
        <v>820.24220760923401</v>
      </c>
      <c r="C146" s="34">
        <f t="shared" si="12"/>
        <v>-2.6367855345482045</v>
      </c>
      <c r="D146" s="34">
        <f t="shared" si="13"/>
        <v>10.89441000451685</v>
      </c>
      <c r="E146" s="34">
        <f t="shared" si="14"/>
        <v>1.9099675785226158E-4</v>
      </c>
      <c r="F146" s="34">
        <f t="shared" si="17"/>
        <v>0.5412402723576456</v>
      </c>
      <c r="G146" s="3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hidden="1" x14ac:dyDescent="0.25">
      <c r="A147" s="34">
        <f t="shared" si="15"/>
        <v>4.9999999999999996E-2</v>
      </c>
      <c r="B147" s="34">
        <f t="shared" si="16"/>
        <v>817.60542207468586</v>
      </c>
      <c r="C147" s="34">
        <f t="shared" si="12"/>
        <v>-2.6329646397908855</v>
      </c>
      <c r="D147" s="34">
        <f t="shared" si="13"/>
        <v>9.8164319460178291</v>
      </c>
      <c r="E147" s="34">
        <f t="shared" si="14"/>
        <v>2.1341771971479753E-4</v>
      </c>
      <c r="F147" s="34">
        <f t="shared" si="17"/>
        <v>0.54145369007736044</v>
      </c>
      <c r="G147" s="3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hidden="1" x14ac:dyDescent="0.25">
      <c r="A148" s="34">
        <f t="shared" si="15"/>
        <v>5.4999999999999993E-2</v>
      </c>
      <c r="B148" s="34">
        <f t="shared" si="16"/>
        <v>814.97245743489498</v>
      </c>
      <c r="C148" s="34">
        <f t="shared" si="12"/>
        <v>-2.6284376738221411</v>
      </c>
      <c r="D148" s="34">
        <f t="shared" si="13"/>
        <v>8.8405035862868839</v>
      </c>
      <c r="E148" s="34">
        <f t="shared" si="14"/>
        <v>2.3859495527102194E-4</v>
      </c>
      <c r="F148" s="34">
        <f t="shared" si="17"/>
        <v>0.54169228503263145</v>
      </c>
      <c r="G148" s="3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hidden="1" x14ac:dyDescent="0.25">
      <c r="A149" s="34">
        <f t="shared" si="15"/>
        <v>5.9999999999999991E-2</v>
      </c>
      <c r="B149" s="34">
        <f t="shared" si="16"/>
        <v>812.34401976107279</v>
      </c>
      <c r="C149" s="34">
        <f t="shared" si="12"/>
        <v>-2.6231088216279246</v>
      </c>
      <c r="D149" s="34">
        <f t="shared" si="13"/>
        <v>7.9576439151153942</v>
      </c>
      <c r="E149" s="34">
        <f t="shared" si="14"/>
        <v>2.6687517457665822E-4</v>
      </c>
      <c r="F149" s="34">
        <f t="shared" si="17"/>
        <v>0.54195916020720813</v>
      </c>
      <c r="G149" s="3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hidden="1" x14ac:dyDescent="0.25">
      <c r="A150" s="34">
        <f t="shared" si="15"/>
        <v>6.4999999999999988E-2</v>
      </c>
      <c r="B150" s="34">
        <f t="shared" si="16"/>
        <v>809.72091093944482</v>
      </c>
      <c r="C150" s="34">
        <f t="shared" si="12"/>
        <v>-2.6168696139938126</v>
      </c>
      <c r="D150" s="34">
        <f t="shared" si="13"/>
        <v>7.1596021734681949</v>
      </c>
      <c r="E150" s="34">
        <f t="shared" si="14"/>
        <v>2.9864767597034288E-4</v>
      </c>
      <c r="F150" s="34">
        <f t="shared" si="17"/>
        <v>0.54225780788317846</v>
      </c>
      <c r="G150" s="3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hidden="1" x14ac:dyDescent="0.25">
      <c r="A151" s="34">
        <f t="shared" si="15"/>
        <v>6.9999999999999993E-2</v>
      </c>
      <c r="B151" s="34">
        <f t="shared" si="16"/>
        <v>807.10404132545102</v>
      </c>
      <c r="C151" s="34">
        <f t="shared" si="12"/>
        <v>-2.6095974537854012</v>
      </c>
      <c r="D151" s="34">
        <f t="shared" si="13"/>
        <v>6.4388037111678269</v>
      </c>
      <c r="E151" s="34">
        <f t="shared" si="14"/>
        <v>3.3434885796074628E-4</v>
      </c>
      <c r="F151" s="34">
        <f t="shared" si="17"/>
        <v>0.54259215674113925</v>
      </c>
      <c r="G151" s="3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hidden="1" x14ac:dyDescent="0.25">
      <c r="A152" s="34">
        <f t="shared" si="15"/>
        <v>7.4999999999999997E-2</v>
      </c>
      <c r="B152" s="34">
        <f t="shared" si="16"/>
        <v>804.49444387166557</v>
      </c>
      <c r="C152" s="34">
        <f t="shared" si="12"/>
        <v>-2.6011540483684885</v>
      </c>
      <c r="D152" s="34">
        <f t="shared" si="13"/>
        <v>5.7882994399811647</v>
      </c>
      <c r="E152" s="34">
        <f t="shared" si="14"/>
        <v>3.7446692929509395E-4</v>
      </c>
      <c r="F152" s="34">
        <f t="shared" si="17"/>
        <v>0.54296662367043436</v>
      </c>
      <c r="G152" s="3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hidden="1" x14ac:dyDescent="0.25">
      <c r="A153" s="34">
        <f t="shared" si="15"/>
        <v>0.08</v>
      </c>
      <c r="B153" s="34">
        <f t="shared" si="16"/>
        <v>801.8932898232971</v>
      </c>
      <c r="C153" s="34">
        <f t="shared" si="12"/>
        <v>-2.5913837726702513</v>
      </c>
      <c r="D153" s="34">
        <f t="shared" si="13"/>
        <v>5.2017186740758783</v>
      </c>
      <c r="E153" s="34">
        <f t="shared" si="14"/>
        <v>4.1954671583437444E-4</v>
      </c>
      <c r="F153" s="34">
        <f t="shared" si="17"/>
        <v>0.54338617038626869</v>
      </c>
      <c r="G153" s="3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hidden="1" x14ac:dyDescent="0.25">
      <c r="A154" s="34">
        <f t="shared" si="15"/>
        <v>8.5000000000000006E-2</v>
      </c>
      <c r="B154" s="34">
        <f t="shared" si="16"/>
        <v>799.30190605062683</v>
      </c>
      <c r="C154" s="34">
        <f t="shared" si="12"/>
        <v>-2.580112001771655</v>
      </c>
      <c r="D154" s="34">
        <f t="shared" si="13"/>
        <v>4.673225159813442</v>
      </c>
      <c r="E154" s="34">
        <f t="shared" si="14"/>
        <v>4.7019441398666657E-4</v>
      </c>
      <c r="F154" s="34">
        <f t="shared" si="17"/>
        <v>0.54385636480025534</v>
      </c>
      <c r="G154" s="3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hidden="1" x14ac:dyDescent="0.25">
      <c r="A155" s="34">
        <f t="shared" si="15"/>
        <v>9.0000000000000011E-2</v>
      </c>
      <c r="B155" s="34">
        <f t="shared" si="16"/>
        <v>796.72179404885514</v>
      </c>
      <c r="C155" s="34">
        <f t="shared" si="12"/>
        <v>-2.5671434708500063</v>
      </c>
      <c r="D155" s="34">
        <f t="shared" si="13"/>
        <v>4.1974761064833235</v>
      </c>
      <c r="E155" s="34">
        <f t="shared" si="14"/>
        <v>5.2708207748597728E-4</v>
      </c>
      <c r="F155" s="34">
        <f t="shared" si="17"/>
        <v>0.54438344687774132</v>
      </c>
      <c r="G155" s="3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hidden="1" x14ac:dyDescent="0.25">
      <c r="A156" s="34">
        <f t="shared" si="15"/>
        <v>9.5000000000000015E-2</v>
      </c>
      <c r="B156" s="34">
        <f t="shared" si="16"/>
        <v>794.15465057800509</v>
      </c>
      <c r="C156" s="34">
        <f t="shared" si="12"/>
        <v>-2.5522607446401424</v>
      </c>
      <c r="D156" s="34">
        <f t="shared" si="13"/>
        <v>3.769584038853655</v>
      </c>
      <c r="E156" s="34">
        <f t="shared" si="14"/>
        <v>5.9095154487874568E-4</v>
      </c>
      <c r="F156" s="34">
        <f t="shared" si="17"/>
        <v>0.54497439842262008</v>
      </c>
      <c r="G156" s="3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hidden="1" x14ac:dyDescent="0.25">
      <c r="A157" s="34">
        <f t="shared" si="15"/>
        <v>0.10000000000000002</v>
      </c>
      <c r="B157" s="34">
        <f t="shared" si="16"/>
        <v>791.6023898333649</v>
      </c>
      <c r="C157" s="34">
        <f t="shared" si="12"/>
        <v>-2.5352229091734446</v>
      </c>
      <c r="D157" s="34">
        <f t="shared" si="13"/>
        <v>3.3850813013301546</v>
      </c>
      <c r="E157" s="34">
        <f t="shared" si="14"/>
        <v>6.6261741719525187E-4</v>
      </c>
      <c r="F157" s="34">
        <f t="shared" si="17"/>
        <v>0.54563701583981528</v>
      </c>
      <c r="G157" s="3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hidden="1" x14ac:dyDescent="0.25">
      <c r="A158" s="34">
        <f t="shared" si="15"/>
        <v>0.10500000000000002</v>
      </c>
      <c r="B158" s="34">
        <f t="shared" si="16"/>
        <v>789.0671669241915</v>
      </c>
      <c r="C158" s="34">
        <f t="shared" si="12"/>
        <v>-2.515764635975982</v>
      </c>
      <c r="D158" s="34">
        <f t="shared" si="13"/>
        <v>3.0398870520782304</v>
      </c>
      <c r="E158" s="34">
        <f t="shared" si="14"/>
        <v>7.4296857788126768E-4</v>
      </c>
      <c r="F158" s="34">
        <f t="shared" si="17"/>
        <v>0.54637998441769653</v>
      </c>
      <c r="G158" s="3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hidden="1" x14ac:dyDescent="0.25">
      <c r="A159" s="34">
        <f t="shared" si="15"/>
        <v>0.11000000000000003</v>
      </c>
      <c r="B159" s="34">
        <f t="shared" si="16"/>
        <v>786.55140228821551</v>
      </c>
      <c r="C159" s="34">
        <f t="shared" si="12"/>
        <v>-2.4935958132588705</v>
      </c>
      <c r="D159" s="34">
        <f t="shared" si="13"/>
        <v>2.7302765936781799</v>
      </c>
      <c r="E159" s="34">
        <f t="shared" si="14"/>
        <v>8.329676108904862E-4</v>
      </c>
      <c r="F159" s="34">
        <f t="shared" si="17"/>
        <v>0.547212952028587</v>
      </c>
      <c r="G159" s="3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hidden="1" x14ac:dyDescent="0.25">
      <c r="A160" s="34">
        <f t="shared" si="15"/>
        <v>0.11500000000000003</v>
      </c>
      <c r="B160" s="34">
        <f t="shared" si="16"/>
        <v>784.05780647495669</v>
      </c>
      <c r="C160" s="34">
        <f t="shared" si="12"/>
        <v>-2.4684019891337488</v>
      </c>
      <c r="D160" s="34">
        <f t="shared" si="13"/>
        <v>2.4528528947556185</v>
      </c>
      <c r="E160" s="34">
        <f t="shared" si="14"/>
        <v>9.3364732166487737E-4</v>
      </c>
      <c r="F160" s="34">
        <f t="shared" si="17"/>
        <v>0.5481465993502519</v>
      </c>
      <c r="G160" s="3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hidden="1" x14ac:dyDescent="0.25">
      <c r="A161" s="34">
        <f t="shared" si="15"/>
        <v>0.12000000000000004</v>
      </c>
      <c r="B161" s="34">
        <f t="shared" si="16"/>
        <v>781.58940448582291</v>
      </c>
      <c r="C161" s="34">
        <f t="shared" si="12"/>
        <v>-2.4398459263391001</v>
      </c>
      <c r="D161" s="34">
        <f t="shared" si="13"/>
        <v>2.2045201645609751</v>
      </c>
      <c r="E161" s="34">
        <f t="shared" si="14"/>
        <v>1.0461034080117308E-3</v>
      </c>
      <c r="F161" s="34">
        <f t="shared" si="17"/>
        <v>0.5491927027582636</v>
      </c>
      <c r="G161" s="3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hidden="1" x14ac:dyDescent="0.25">
      <c r="A162" s="34">
        <f t="shared" si="15"/>
        <v>0.12500000000000003</v>
      </c>
      <c r="B162" s="34">
        <f t="shared" si="16"/>
        <v>779.14955855948381</v>
      </c>
      <c r="C162" s="34">
        <f t="shared" si="12"/>
        <v>-2.4075706220753208</v>
      </c>
      <c r="D162" s="34">
        <f t="shared" si="13"/>
        <v>1.9824593496724427</v>
      </c>
      <c r="E162" s="34">
        <f t="shared" si="14"/>
        <v>1.1714821788036485E-3</v>
      </c>
      <c r="F162" s="34">
        <f t="shared" si="17"/>
        <v>0.55036418493706729</v>
      </c>
      <c r="G162" s="3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hidden="1" x14ac:dyDescent="0.25">
      <c r="A163" s="34">
        <f t="shared" si="15"/>
        <v>0.13000000000000003</v>
      </c>
      <c r="B163" s="34">
        <f t="shared" si="16"/>
        <v>776.74198793740845</v>
      </c>
      <c r="C163" s="34">
        <f t="shared" si="12"/>
        <v>-2.3712041931261916</v>
      </c>
      <c r="D163" s="34">
        <f t="shared" si="13"/>
        <v>1.7841054288697125</v>
      </c>
      <c r="E163" s="34">
        <f t="shared" si="14"/>
        <v>1.3109621021914514E-3</v>
      </c>
      <c r="F163" s="34">
        <f t="shared" si="17"/>
        <v>0.5516751470392588</v>
      </c>
      <c r="G163" s="3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hidden="1" x14ac:dyDescent="0.25">
      <c r="A164" s="34">
        <f t="shared" si="15"/>
        <v>0.13500000000000004</v>
      </c>
      <c r="B164" s="34">
        <f t="shared" si="16"/>
        <v>774.37078374428222</v>
      </c>
      <c r="C164" s="34">
        <f t="shared" si="12"/>
        <v>-2.330367054598272</v>
      </c>
      <c r="D164" s="34">
        <f t="shared" si="13"/>
        <v>1.6071263887859268</v>
      </c>
      <c r="E164" s="34">
        <f t="shared" si="14"/>
        <v>1.4657279170267579E-3</v>
      </c>
      <c r="F164" s="34">
        <f t="shared" si="17"/>
        <v>0.5531408749562855</v>
      </c>
      <c r="G164" s="3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hidden="1" x14ac:dyDescent="0.25">
      <c r="A165" s="34">
        <f t="shared" si="15"/>
        <v>0.14000000000000004</v>
      </c>
      <c r="B165" s="34">
        <f t="shared" si="16"/>
        <v>772.04041668968398</v>
      </c>
      <c r="C165" s="34">
        <f t="shared" si="12"/>
        <v>-2.2846818151595345</v>
      </c>
      <c r="D165" s="34">
        <f t="shared" si="13"/>
        <v>1.4494037692072239</v>
      </c>
      <c r="E165" s="34">
        <f t="shared" si="14"/>
        <v>1.6369361093099793E-3</v>
      </c>
      <c r="F165" s="34">
        <f t="shared" si="17"/>
        <v>0.55477781106559543</v>
      </c>
      <c r="G165" s="3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hidden="1" x14ac:dyDescent="0.25">
      <c r="A166" s="34">
        <f t="shared" si="15"/>
        <v>0.14500000000000005</v>
      </c>
      <c r="B166" s="34">
        <f t="shared" si="16"/>
        <v>769.75573487452448</v>
      </c>
      <c r="C166" s="34">
        <f t="shared" si="12"/>
        <v>-2.233786253160277</v>
      </c>
      <c r="D166" s="34">
        <f t="shared" si="13"/>
        <v>1.3090146728798853</v>
      </c>
      <c r="E166" s="34">
        <f t="shared" si="14"/>
        <v>1.8256707992559326E-3</v>
      </c>
      <c r="F166" s="34">
        <f t="shared" si="17"/>
        <v>0.55660348186485131</v>
      </c>
      <c r="G166" s="3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hidden="1" x14ac:dyDescent="0.25">
      <c r="A167" s="34">
        <f t="shared" si="15"/>
        <v>0.15000000000000005</v>
      </c>
      <c r="B167" s="34">
        <f t="shared" si="16"/>
        <v>767.52194862136423</v>
      </c>
      <c r="C167" s="34">
        <f t="shared" si="12"/>
        <v>-2.1773496039381</v>
      </c>
      <c r="D167" s="34">
        <f t="shared" si="13"/>
        <v>1.1842151404411556</v>
      </c>
      <c r="E167" s="34">
        <f t="shared" si="14"/>
        <v>2.0328895706750601E-3</v>
      </c>
      <c r="F167" s="34">
        <f t="shared" si="17"/>
        <v>0.55863637143552636</v>
      </c>
      <c r="G167" s="3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hidden="1" x14ac:dyDescent="0.25">
      <c r="A168" s="34">
        <f t="shared" si="15"/>
        <v>0.15500000000000005</v>
      </c>
      <c r="B168" s="34">
        <f t="shared" si="16"/>
        <v>765.34459901742616</v>
      </c>
      <c r="C168" s="34">
        <f t="shared" si="12"/>
        <v>-2.1150921563332608</v>
      </c>
      <c r="D168" s="34">
        <f t="shared" si="13"/>
        <v>1.0734247966609627</v>
      </c>
      <c r="E168" s="34">
        <f t="shared" si="14"/>
        <v>2.2593595663130952E-3</v>
      </c>
      <c r="F168" s="34">
        <f t="shared" si="17"/>
        <v>0.56089573100183943</v>
      </c>
      <c r="G168" s="3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hidden="1" x14ac:dyDescent="0.25">
      <c r="A169" s="34">
        <f t="shared" si="15"/>
        <v>0.16000000000000006</v>
      </c>
      <c r="B169" s="34">
        <f t="shared" si="16"/>
        <v>763.22950686109289</v>
      </c>
      <c r="C169" s="34">
        <f t="shared" si="12"/>
        <v>-2.0468078087916286</v>
      </c>
      <c r="D169" s="34">
        <f t="shared" si="13"/>
        <v>0.97521267963484026</v>
      </c>
      <c r="E169" s="34">
        <f t="shared" si="14"/>
        <v>2.5055853131468802E-3</v>
      </c>
      <c r="F169" s="34">
        <f t="shared" si="17"/>
        <v>0.56340131631498636</v>
      </c>
      <c r="G169" s="3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hidden="1" x14ac:dyDescent="0.25">
      <c r="A170" s="34">
        <f t="shared" si="15"/>
        <v>0.16500000000000006</v>
      </c>
      <c r="B170" s="34">
        <f t="shared" si="16"/>
        <v>761.18269905230125</v>
      </c>
      <c r="C170" s="34">
        <f t="shared" si="12"/>
        <v>-1.9723887689413691</v>
      </c>
      <c r="D170" s="34">
        <f t="shared" si="13"/>
        <v>0.88828416997844006</v>
      </c>
      <c r="E170" s="34">
        <f t="shared" si="14"/>
        <v>2.7717312263457411E-3</v>
      </c>
      <c r="F170" s="34">
        <f t="shared" si="17"/>
        <v>0.56617304754133213</v>
      </c>
      <c r="G170" s="3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hidden="1" x14ac:dyDescent="0.25">
      <c r="A171" s="34">
        <f t="shared" si="15"/>
        <v>0.17000000000000007</v>
      </c>
      <c r="B171" s="34">
        <f t="shared" si="16"/>
        <v>759.21031028335983</v>
      </c>
      <c r="C171" s="34">
        <f t="shared" si="12"/>
        <v>-1.8918510158827193</v>
      </c>
      <c r="D171" s="34">
        <f t="shared" si="13"/>
        <v>0.81146894252376234</v>
      </c>
      <c r="E171" s="34">
        <f t="shared" si="14"/>
        <v>3.0575434878228982E-3</v>
      </c>
      <c r="F171" s="34">
        <f t="shared" si="17"/>
        <v>0.56923059102915508</v>
      </c>
      <c r="G171" s="3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hidden="1" x14ac:dyDescent="0.25">
      <c r="A172" s="34">
        <f t="shared" si="15"/>
        <v>0.17500000000000007</v>
      </c>
      <c r="B172" s="34">
        <f t="shared" si="16"/>
        <v>757.31845926747712</v>
      </c>
      <c r="C172" s="34">
        <f t="shared" si="12"/>
        <v>-1.8053585369425555</v>
      </c>
      <c r="D172" s="34">
        <f t="shared" si="13"/>
        <v>0.74370986857314736</v>
      </c>
      <c r="E172" s="34">
        <f t="shared" si="14"/>
        <v>3.3622778158171815E-3</v>
      </c>
      <c r="F172" s="34">
        <f t="shared" si="17"/>
        <v>0.57259286884497229</v>
      </c>
      <c r="G172" s="3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hidden="1" x14ac:dyDescent="0.25">
      <c r="A173" s="34">
        <f t="shared" si="15"/>
        <v>0.18000000000000008</v>
      </c>
      <c r="B173" s="34">
        <f t="shared" si="16"/>
        <v>755.51310073053457</v>
      </c>
      <c r="C173" s="34">
        <f t="shared" si="12"/>
        <v>-1.7132437967274312</v>
      </c>
      <c r="D173" s="34">
        <f t="shared" si="13"/>
        <v>0.68405280246131894</v>
      </c>
      <c r="E173" s="34">
        <f t="shared" si="14"/>
        <v>3.6846412239459735E-3</v>
      </c>
      <c r="F173" s="34">
        <f t="shared" si="17"/>
        <v>0.57627751006891825</v>
      </c>
      <c r="G173" s="3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hidden="1" x14ac:dyDescent="0.25">
      <c r="A174" s="34">
        <f t="shared" si="15"/>
        <v>0.18500000000000008</v>
      </c>
      <c r="B174" s="34">
        <f t="shared" si="16"/>
        <v>753.79985693380718</v>
      </c>
      <c r="C174" s="34">
        <f t="shared" si="12"/>
        <v>-1.6160215302524714</v>
      </c>
      <c r="D174" s="34">
        <f t="shared" si="13"/>
        <v>0.63163719197068802</v>
      </c>
      <c r="E174" s="34">
        <f t="shared" si="14"/>
        <v>4.0227567932824473E-3</v>
      </c>
      <c r="F174" s="34">
        <f t="shared" si="17"/>
        <v>0.58030026686220071</v>
      </c>
      <c r="G174" s="3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hidden="1" x14ac:dyDescent="0.25">
      <c r="A175" s="34">
        <f t="shared" si="15"/>
        <v>0.19000000000000009</v>
      </c>
      <c r="B175" s="34">
        <f t="shared" si="16"/>
        <v>752.18383540355467</v>
      </c>
      <c r="C175" s="34">
        <f t="shared" si="12"/>
        <v>-1.5143929273269636</v>
      </c>
      <c r="D175" s="34">
        <f t="shared" si="13"/>
        <v>0.58568745790383436</v>
      </c>
      <c r="E175" s="34">
        <f t="shared" si="14"/>
        <v>4.374160287718528E-3</v>
      </c>
      <c r="F175" s="34">
        <f t="shared" si="17"/>
        <v>0.58467442714991924</v>
      </c>
      <c r="G175" s="3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hidden="1" x14ac:dyDescent="0.25">
      <c r="A176" s="34">
        <f t="shared" si="15"/>
        <v>0.19500000000000009</v>
      </c>
      <c r="B176" s="34">
        <f t="shared" si="16"/>
        <v>750.66944247622769</v>
      </c>
      <c r="C176" s="34">
        <f t="shared" si="12"/>
        <v>-1.4092377286059015</v>
      </c>
      <c r="D176" s="34">
        <f t="shared" si="13"/>
        <v>0.54550509358562072</v>
      </c>
      <c r="E176" s="34">
        <f t="shared" si="14"/>
        <v>4.7358357428642526E-3</v>
      </c>
      <c r="F176" s="34">
        <f t="shared" si="17"/>
        <v>0.58941026289278353</v>
      </c>
      <c r="G176" s="3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hidden="1" x14ac:dyDescent="0.25">
      <c r="A177" s="34">
        <f t="shared" si="15"/>
        <v>0.20000000000000009</v>
      </c>
      <c r="B177" s="34">
        <f t="shared" si="16"/>
        <v>749.26020474762174</v>
      </c>
      <c r="C177" s="34">
        <f t="shared" si="12"/>
        <v>-1.3015927537579695</v>
      </c>
      <c r="D177" s="34">
        <f t="shared" si="13"/>
        <v>0.51046143988189807</v>
      </c>
      <c r="E177" s="34">
        <f t="shared" si="14"/>
        <v>5.1042937899239494E-3</v>
      </c>
      <c r="F177" s="34">
        <f t="shared" si="17"/>
        <v>0.59451455668270747</v>
      </c>
      <c r="G177" s="3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hidden="1" x14ac:dyDescent="0.25">
      <c r="A178" s="34">
        <f t="shared" si="15"/>
        <v>0.2050000000000001</v>
      </c>
      <c r="B178" s="34">
        <f t="shared" si="16"/>
        <v>747.95861199386377</v>
      </c>
      <c r="C178" s="34">
        <f t="shared" si="12"/>
        <v>-1.1926168808022335</v>
      </c>
      <c r="D178" s="34">
        <f t="shared" si="13"/>
        <v>0.47999109506405513</v>
      </c>
      <c r="E178" s="34">
        <f t="shared" si="14"/>
        <v>5.4756916475893385E-3</v>
      </c>
      <c r="F178" s="34">
        <f t="shared" si="17"/>
        <v>0.59999024833029679</v>
      </c>
      <c r="G178" s="3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hidden="1" x14ac:dyDescent="0.25">
      <c r="A179" s="34">
        <f t="shared" si="15"/>
        <v>0.2100000000000001</v>
      </c>
      <c r="B179" s="34">
        <f t="shared" si="16"/>
        <v>746.76599511306154</v>
      </c>
      <c r="C179" s="34">
        <f t="shared" si="12"/>
        <v>-1.0835442994125772</v>
      </c>
      <c r="D179" s="34">
        <f t="shared" si="13"/>
        <v>0.45358592114266855</v>
      </c>
      <c r="E179" s="34">
        <f t="shared" si="14"/>
        <v>5.8459880784530825E-3</v>
      </c>
      <c r="F179" s="34">
        <f t="shared" si="17"/>
        <v>0.60583623640874984</v>
      </c>
      <c r="G179" s="3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hidden="1" x14ac:dyDescent="0.25">
      <c r="A180" s="34">
        <f t="shared" si="15"/>
        <v>0.21500000000000011</v>
      </c>
      <c r="B180" s="34">
        <f t="shared" si="16"/>
        <v>745.68245081364898</v>
      </c>
      <c r="C180" s="34">
        <f t="shared" si="12"/>
        <v>-0.97562964692549192</v>
      </c>
      <c r="D180" s="34">
        <f t="shared" si="13"/>
        <v>0.43078960893637852</v>
      </c>
      <c r="E180" s="34">
        <f t="shared" si="14"/>
        <v>6.2111211897094166E-3</v>
      </c>
      <c r="F180" s="34">
        <f t="shared" si="17"/>
        <v>0.6120473575984593</v>
      </c>
      <c r="G180" s="3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hidden="1" x14ac:dyDescent="0.25">
      <c r="A181" s="34">
        <f t="shared" si="15"/>
        <v>0.22000000000000011</v>
      </c>
      <c r="B181" s="34">
        <f t="shared" si="16"/>
        <v>744.70682116672344</v>
      </c>
      <c r="C181" s="34">
        <f t="shared" si="12"/>
        <v>-0.87009001977992551</v>
      </c>
      <c r="D181" s="34">
        <f t="shared" si="13"/>
        <v>0.41119276322582493</v>
      </c>
      <c r="E181" s="34">
        <f t="shared" si="14"/>
        <v>6.5671929411291246E-3</v>
      </c>
      <c r="F181" s="34">
        <f t="shared" si="17"/>
        <v>0.61861455053958847</v>
      </c>
      <c r="G181" s="3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hidden="1" x14ac:dyDescent="0.25">
      <c r="A182" s="34">
        <f t="shared" si="15"/>
        <v>0.22500000000000012</v>
      </c>
      <c r="B182" s="34">
        <f t="shared" si="16"/>
        <v>743.83673114694352</v>
      </c>
      <c r="C182" s="34">
        <f t="shared" si="12"/>
        <v>-0.76804949735826378</v>
      </c>
      <c r="D182" s="34">
        <f t="shared" si="13"/>
        <v>0.39442846731527093</v>
      </c>
      <c r="E182" s="34">
        <f t="shared" si="14"/>
        <v>6.9106426044206748E-3</v>
      </c>
      <c r="F182" s="34">
        <f t="shared" si="17"/>
        <v>0.62552519314400912</v>
      </c>
      <c r="G182" s="3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hidden="1" x14ac:dyDescent="0.25">
      <c r="A183" s="34">
        <f t="shared" si="15"/>
        <v>0.23000000000000012</v>
      </c>
      <c r="B183" s="34">
        <f t="shared" si="16"/>
        <v>743.0686816495853</v>
      </c>
      <c r="C183" s="34">
        <f t="shared" si="12"/>
        <v>-0.67049153827998431</v>
      </c>
      <c r="D183" s="34">
        <f t="shared" si="13"/>
        <v>0.38016828394870744</v>
      </c>
      <c r="E183" s="34">
        <f t="shared" si="14"/>
        <v>7.2383926837447611E-3</v>
      </c>
      <c r="F183" s="34">
        <f t="shared" si="17"/>
        <v>0.63276358582775383</v>
      </c>
      <c r="G183" s="3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hidden="1" x14ac:dyDescent="0.25">
      <c r="A184" s="34">
        <f t="shared" si="15"/>
        <v>0.23500000000000013</v>
      </c>
      <c r="B184" s="34">
        <f t="shared" si="16"/>
        <v>742.39819011130533</v>
      </c>
      <c r="C184" s="34">
        <f t="shared" si="12"/>
        <v>-0.57822345332590996</v>
      </c>
      <c r="D184" s="34">
        <f t="shared" si="13"/>
        <v>0.36811864772221436</v>
      </c>
      <c r="E184" s="34">
        <f t="shared" si="14"/>
        <v>7.5479547460341355E-3</v>
      </c>
      <c r="F184" s="34">
        <f t="shared" si="17"/>
        <v>0.64031154057378792</v>
      </c>
      <c r="G184" s="3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hidden="1" x14ac:dyDescent="0.25">
      <c r="A185" s="34">
        <f t="shared" si="15"/>
        <v>0.24000000000000013</v>
      </c>
      <c r="B185" s="34">
        <f t="shared" si="16"/>
        <v>741.81996665797942</v>
      </c>
      <c r="C185" s="34">
        <f t="shared" si="12"/>
        <v>-0.49185538294955838</v>
      </c>
      <c r="D185" s="34">
        <f t="shared" si="13"/>
        <v>0.35801760374283975</v>
      </c>
      <c r="E185" s="34">
        <f t="shared" si="14"/>
        <v>7.837488357937978E-3</v>
      </c>
      <c r="F185" s="34">
        <f t="shared" si="17"/>
        <v>0.64814902893172588</v>
      </c>
      <c r="G185" s="3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hidden="1" x14ac:dyDescent="0.25">
      <c r="A186" s="34">
        <f t="shared" si="15"/>
        <v>0.24500000000000013</v>
      </c>
      <c r="B186" s="34">
        <f t="shared" si="16"/>
        <v>741.32811127502987</v>
      </c>
      <c r="C186" s="34">
        <f t="shared" si="12"/>
        <v>-0.41179420472239014</v>
      </c>
      <c r="D186" s="34">
        <f t="shared" si="13"/>
        <v>0.34963184884360315</v>
      </c>
      <c r="E186" s="34">
        <f t="shared" si="14"/>
        <v>8.1058126336793299E-3</v>
      </c>
      <c r="F186" s="34">
        <f t="shared" si="17"/>
        <v>0.65625484156540526</v>
      </c>
      <c r="G186" s="3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hidden="1" x14ac:dyDescent="0.25">
      <c r="A187" s="34">
        <f t="shared" si="15"/>
        <v>0.25000000000000011</v>
      </c>
      <c r="B187" s="34">
        <f t="shared" si="16"/>
        <v>740.91631707030751</v>
      </c>
      <c r="C187" s="34">
        <f t="shared" si="12"/>
        <v>-0.33825097498750117</v>
      </c>
      <c r="D187" s="34">
        <f t="shared" si="13"/>
        <v>0.34275403526119036</v>
      </c>
      <c r="E187" s="34">
        <f t="shared" si="14"/>
        <v>8.3523755079068871E-3</v>
      </c>
      <c r="F187" s="34">
        <f t="shared" si="17"/>
        <v>0.66460721707331216</v>
      </c>
      <c r="G187" s="3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hidden="1" x14ac:dyDescent="0.25">
      <c r="A188" s="34">
        <f t="shared" si="15"/>
        <v>0.25500000000000012</v>
      </c>
      <c r="B188" s="34">
        <f t="shared" si="16"/>
        <v>740.57806609531997</v>
      </c>
      <c r="C188" s="34">
        <f t="shared" si="12"/>
        <v>-0.27125917870637173</v>
      </c>
      <c r="D188" s="34">
        <f t="shared" si="13"/>
        <v>0.3372003019503641</v>
      </c>
      <c r="E188" s="34">
        <f t="shared" si="14"/>
        <v>8.5771898360276697E-3</v>
      </c>
      <c r="F188" s="34">
        <f t="shared" si="17"/>
        <v>0.67318440690933978</v>
      </c>
      <c r="G188" s="3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hidden="1" x14ac:dyDescent="0.25">
      <c r="A189" s="34">
        <f t="shared" si="15"/>
        <v>0.26000000000000012</v>
      </c>
      <c r="B189" s="34">
        <f t="shared" si="16"/>
        <v>740.3068069166136</v>
      </c>
      <c r="C189" s="34">
        <f t="shared" si="12"/>
        <v>-0.210700368220786</v>
      </c>
      <c r="D189" s="34">
        <f t="shared" si="13"/>
        <v>0.33280800495167867</v>
      </c>
      <c r="E189" s="34">
        <f t="shared" si="14"/>
        <v>8.7807473853449905E-3</v>
      </c>
      <c r="F189" s="34">
        <f t="shared" si="17"/>
        <v>0.68196515429468474</v>
      </c>
      <c r="G189" s="3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hidden="1" x14ac:dyDescent="0.25">
      <c r="A190" s="34">
        <f t="shared" si="15"/>
        <v>0.26500000000000012</v>
      </c>
      <c r="B190" s="34">
        <f t="shared" si="16"/>
        <v>740.09610654839275</v>
      </c>
      <c r="C190" s="34">
        <f t="shared" si="12"/>
        <v>-0.15633369606924838</v>
      </c>
      <c r="D190" s="34">
        <f t="shared" si="13"/>
        <v>0.32943362462881592</v>
      </c>
      <c r="E190" s="34">
        <f t="shared" si="14"/>
        <v>8.9639218183000958E-3</v>
      </c>
      <c r="F190" s="34">
        <f t="shared" si="17"/>
        <v>0.69092907611298482</v>
      </c>
      <c r="G190" s="3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hidden="1" x14ac:dyDescent="0.25">
      <c r="A191" s="34">
        <f t="shared" si="15"/>
        <v>0.27000000000000013</v>
      </c>
      <c r="B191" s="34">
        <f t="shared" si="16"/>
        <v>739.93977285232347</v>
      </c>
      <c r="C191" s="34">
        <f t="shared" si="12"/>
        <v>-0.10782624975325218</v>
      </c>
      <c r="D191" s="34">
        <f t="shared" si="13"/>
        <v>0.32695083341106335</v>
      </c>
      <c r="E191" s="34">
        <f t="shared" si="14"/>
        <v>9.1278703488453794E-3</v>
      </c>
      <c r="F191" s="34">
        <f t="shared" si="17"/>
        <v>0.70005694646183025</v>
      </c>
      <c r="G191" s="3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hidden="1" x14ac:dyDescent="0.25">
      <c r="A192" s="34">
        <f t="shared" si="15"/>
        <v>0.27500000000000013</v>
      </c>
      <c r="B192" s="34">
        <f t="shared" si="16"/>
        <v>739.83194660257027</v>
      </c>
      <c r="C192" s="34">
        <f t="shared" si="12"/>
        <v>-6.4781784092539249E-2</v>
      </c>
      <c r="D192" s="34">
        <f t="shared" si="13"/>
        <v>0.32524871240167041</v>
      </c>
      <c r="E192" s="34">
        <f t="shared" si="14"/>
        <v>9.2739414912299967E-3</v>
      </c>
      <c r="F192" s="34">
        <f t="shared" si="17"/>
        <v>0.70933088795306021</v>
      </c>
      <c r="G192" s="3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hidden="1" x14ac:dyDescent="0.25">
      <c r="A193" s="34">
        <f t="shared" si="15"/>
        <v>0.28000000000000014</v>
      </c>
      <c r="B193" s="34">
        <f t="shared" si="16"/>
        <v>739.76716481847768</v>
      </c>
      <c r="C193" s="34">
        <f t="shared" si="12"/>
        <v>-2.6766231906430366E-2</v>
      </c>
      <c r="D193" s="34">
        <f t="shared" si="13"/>
        <v>0.32423010860953261</v>
      </c>
      <c r="E193" s="34">
        <f t="shared" si="14"/>
        <v>9.4035938028327031E-3</v>
      </c>
      <c r="F193" s="34">
        <f t="shared" si="17"/>
        <v>0.71873448175589294</v>
      </c>
      <c r="G193" s="3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hidden="1" x14ac:dyDescent="0.25">
      <c r="A194" s="34">
        <f t="shared" si="15"/>
        <v>0.28500000000000014</v>
      </c>
      <c r="B194" s="34">
        <f t="shared" si="16"/>
        <v>739.74039858657125</v>
      </c>
      <c r="C194" s="34">
        <f t="shared" si="12"/>
        <v>6.670887687643642E-3</v>
      </c>
      <c r="D194" s="34">
        <f t="shared" si="13"/>
        <v>0.32381012664853126</v>
      </c>
      <c r="E194" s="34">
        <f t="shared" si="14"/>
        <v>9.5183281900327755E-3</v>
      </c>
      <c r="F194" s="34">
        <f t="shared" si="17"/>
        <v>0.72825280994592567</v>
      </c>
      <c r="G194" s="3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hidden="1" x14ac:dyDescent="0.25">
      <c r="A195" s="34">
        <f t="shared" si="15"/>
        <v>0.29000000000000015</v>
      </c>
      <c r="B195" s="34">
        <f t="shared" si="16"/>
        <v>739.74706947425886</v>
      </c>
      <c r="C195" s="34">
        <f t="shared" si="12"/>
        <v>3.5979438547983564E-2</v>
      </c>
      <c r="D195" s="34">
        <f t="shared" si="13"/>
        <v>0.32391474972581147</v>
      </c>
      <c r="E195" s="34">
        <f t="shared" si="14"/>
        <v>9.6196344569694399E-3</v>
      </c>
      <c r="F195" s="34">
        <f t="shared" si="17"/>
        <v>0.73787244440289512</v>
      </c>
      <c r="G195" s="3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hidden="1" x14ac:dyDescent="0.25">
      <c r="A196" s="34">
        <f t="shared" si="15"/>
        <v>0.29500000000000015</v>
      </c>
      <c r="B196" s="34">
        <f t="shared" si="16"/>
        <v>739.78304891280686</v>
      </c>
      <c r="C196" s="34">
        <f t="shared" si="12"/>
        <v>6.1595850929491602E-2</v>
      </c>
      <c r="D196" s="34">
        <f t="shared" si="13"/>
        <v>0.32447958489849543</v>
      </c>
      <c r="E196" s="34">
        <f t="shared" si="14"/>
        <v>9.7089514259726933E-3</v>
      </c>
      <c r="F196" s="34">
        <f t="shared" si="17"/>
        <v>0.74758139582886785</v>
      </c>
      <c r="G196" s="3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hidden="1" x14ac:dyDescent="0.25">
      <c r="A197" s="34">
        <f t="shared" si="15"/>
        <v>0.30000000000000016</v>
      </c>
      <c r="B197" s="34">
        <f t="shared" si="16"/>
        <v>739.84464476373637</v>
      </c>
      <c r="C197" s="34">
        <f t="shared" si="12"/>
        <v>8.3934079491288005E-2</v>
      </c>
      <c r="D197" s="34">
        <f t="shared" si="13"/>
        <v>0.32544872722464163</v>
      </c>
      <c r="E197" s="34">
        <f t="shared" si="14"/>
        <v>9.7876391226705585E-3</v>
      </c>
      <c r="F197" s="34">
        <f t="shared" si="17"/>
        <v>0.7573690349515384</v>
      </c>
      <c r="G197" s="3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hidden="1" x14ac:dyDescent="0.25">
      <c r="A198" s="34">
        <f t="shared" si="15"/>
        <v>0.30500000000000016</v>
      </c>
      <c r="B198" s="34">
        <f t="shared" si="16"/>
        <v>739.92857884322768</v>
      </c>
      <c r="C198" s="34">
        <f t="shared" si="12"/>
        <v>0.10337975623787435</v>
      </c>
      <c r="D198" s="34">
        <f t="shared" si="13"/>
        <v>0.32677373683787603</v>
      </c>
      <c r="E198" s="34">
        <f t="shared" si="14"/>
        <v>9.8569611095257852E-3</v>
      </c>
      <c r="F198" s="34">
        <f t="shared" si="17"/>
        <v>0.76722599606106423</v>
      </c>
      <c r="G198" s="3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hidden="1" x14ac:dyDescent="0.25">
      <c r="A199" s="34">
        <f t="shared" si="15"/>
        <v>0.31000000000000016</v>
      </c>
      <c r="B199" s="34">
        <f t="shared" si="16"/>
        <v>740.03195859946561</v>
      </c>
      <c r="C199" s="34">
        <f t="shared" si="12"/>
        <v>0.12028691981541201</v>
      </c>
      <c r="D199" s="34">
        <f t="shared" si="13"/>
        <v>0.32841272234128271</v>
      </c>
      <c r="E199" s="34">
        <f t="shared" si="14"/>
        <v>9.9180749562165337E-3</v>
      </c>
      <c r="F199" s="34">
        <f t="shared" si="17"/>
        <v>0.77714407101728078</v>
      </c>
      <c r="G199" s="3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hidden="1" x14ac:dyDescent="0.25">
      <c r="A200" s="34">
        <f t="shared" si="15"/>
        <v>0.31500000000000017</v>
      </c>
      <c r="B200" s="34">
        <f t="shared" si="16"/>
        <v>740.152245519281</v>
      </c>
      <c r="C200" s="34">
        <f t="shared" si="12"/>
        <v>0.1349767306477028</v>
      </c>
      <c r="D200" s="34">
        <f t="shared" si="13"/>
        <v>0.3303295233808502</v>
      </c>
      <c r="E200" s="34">
        <f t="shared" si="14"/>
        <v>9.9720289453111201E-3</v>
      </c>
      <c r="F200" s="34">
        <f t="shared" si="17"/>
        <v>0.78711609996259191</v>
      </c>
      <c r="G200" s="3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hidden="1" x14ac:dyDescent="0.25">
      <c r="A201" s="34">
        <f t="shared" si="15"/>
        <v>0.32000000000000017</v>
      </c>
      <c r="B201" s="34">
        <f t="shared" si="16"/>
        <v>740.28722224992873</v>
      </c>
      <c r="C201" s="34">
        <f t="shared" si="12"/>
        <v>0.14773764783910145</v>
      </c>
      <c r="D201" s="34">
        <f t="shared" si="13"/>
        <v>0.33249298489586737</v>
      </c>
      <c r="E201" s="34">
        <f t="shared" si="14"/>
        <v>1.0019763337218053E-2</v>
      </c>
      <c r="F201" s="34">
        <f t="shared" si="17"/>
        <v>0.79713586329981001</v>
      </c>
      <c r="G201" s="3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hidden="1" x14ac:dyDescent="0.25">
      <c r="A202" s="34">
        <f t="shared" si="15"/>
        <v>0.32500000000000018</v>
      </c>
      <c r="B202" s="34">
        <f t="shared" si="16"/>
        <v>740.43495989776784</v>
      </c>
      <c r="C202" s="34">
        <f t="shared" si="12"/>
        <v>0.15882662723312582</v>
      </c>
      <c r="D202" s="34">
        <f t="shared" si="13"/>
        <v>0.33487631537921436</v>
      </c>
      <c r="E202" s="34">
        <f t="shared" si="14"/>
        <v>1.0062114792912165E-2</v>
      </c>
      <c r="F202" s="34">
        <f t="shared" si="17"/>
        <v>0.8071979780927222</v>
      </c>
      <c r="G202" s="3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hidden="1" x14ac:dyDescent="0.25">
      <c r="A203" s="34">
        <f t="shared" si="15"/>
        <v>0.33000000000000018</v>
      </c>
      <c r="B203" s="34">
        <f t="shared" si="16"/>
        <v>740.59378652500095</v>
      </c>
      <c r="C203" s="34">
        <f t="shared" si="12"/>
        <v>0.16847098610214606</v>
      </c>
      <c r="D203" s="34">
        <f t="shared" si="13"/>
        <v>0.33745652150826411</v>
      </c>
      <c r="E203" s="34">
        <f t="shared" si="14"/>
        <v>1.009982283204959E-2</v>
      </c>
      <c r="F203" s="34">
        <f t="shared" si="17"/>
        <v>0.81729780092477178</v>
      </c>
      <c r="G203" s="3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hidden="1" x14ac:dyDescent="0.25">
      <c r="A204" s="34">
        <f t="shared" si="15"/>
        <v>0.33500000000000019</v>
      </c>
      <c r="B204" s="34">
        <f t="shared" si="16"/>
        <v>740.76225751110314</v>
      </c>
      <c r="C204" s="34">
        <f t="shared" si="12"/>
        <v>0.17687066001371968</v>
      </c>
      <c r="D204" s="34">
        <f t="shared" si="13"/>
        <v>0.34021391170082527</v>
      </c>
      <c r="E204" s="34">
        <f t="shared" si="14"/>
        <v>1.0133537461475026E-2</v>
      </c>
      <c r="F204" s="34">
        <f t="shared" si="17"/>
        <v>0.82743133838624683</v>
      </c>
      <c r="G204" s="3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hidden="1" x14ac:dyDescent="0.25">
      <c r="A205" s="34">
        <f t="shared" si="15"/>
        <v>0.34000000000000019</v>
      </c>
      <c r="B205" s="34">
        <f t="shared" si="16"/>
        <v>740.93912817111686</v>
      </c>
      <c r="C205" s="34">
        <f t="shared" si="12"/>
        <v>0.18420064707658138</v>
      </c>
      <c r="D205" s="34">
        <f t="shared" si="13"/>
        <v>0.34313166147584556</v>
      </c>
      <c r="E205" s="34">
        <f t="shared" si="14"/>
        <v>1.016382733171607E-2</v>
      </c>
      <c r="F205" s="34">
        <f t="shared" si="17"/>
        <v>0.83759516571796289</v>
      </c>
      <c r="G205" s="3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hidden="1" x14ac:dyDescent="0.25">
      <c r="A206" s="34">
        <f t="shared" si="15"/>
        <v>0.3450000000000002</v>
      </c>
      <c r="B206" s="34">
        <f t="shared" si="16"/>
        <v>741.1233288181935</v>
      </c>
      <c r="C206" s="34">
        <f t="shared" si="12"/>
        <v>0.19061349249087906</v>
      </c>
      <c r="D206" s="34">
        <f t="shared" si="13"/>
        <v>0.34619543391893209</v>
      </c>
      <c r="E206" s="34">
        <f t="shared" si="14"/>
        <v>1.0191187962663764E-2</v>
      </c>
      <c r="F206" s="34">
        <f t="shared" si="17"/>
        <v>0.8477863536806266</v>
      </c>
      <c r="G206" s="3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hidden="1" x14ac:dyDescent="0.25">
      <c r="A207" s="34">
        <f t="shared" si="15"/>
        <v>0.3500000000000002</v>
      </c>
      <c r="B207" s="34">
        <f t="shared" si="16"/>
        <v>741.31394231068441</v>
      </c>
      <c r="C207" s="34">
        <f t="shared" si="12"/>
        <v>0.19624171235063664</v>
      </c>
      <c r="D207" s="34">
        <f t="shared" si="13"/>
        <v>0.34939304903389268</v>
      </c>
      <c r="E207" s="34">
        <f t="shared" si="14"/>
        <v>1.0216049725463706E-2</v>
      </c>
      <c r="F207" s="34">
        <f t="shared" si="17"/>
        <v>0.85800240340609035</v>
      </c>
      <c r="G207" s="3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hidden="1" x14ac:dyDescent="0.25">
      <c r="A208" s="34">
        <f t="shared" si="15"/>
        <v>0.3550000000000002</v>
      </c>
      <c r="B208" s="34">
        <f t="shared" si="16"/>
        <v>741.51018402303509</v>
      </c>
      <c r="C208" s="34">
        <f t="shared" si="12"/>
        <v>0.20120009114813758</v>
      </c>
      <c r="D208" s="34">
        <f t="shared" si="13"/>
        <v>0.35271419627516859</v>
      </c>
      <c r="E208" s="34">
        <f t="shared" si="14"/>
        <v>1.0238785379723543E-2</v>
      </c>
      <c r="F208" s="34">
        <f t="shared" si="17"/>
        <v>0.86824118878581391</v>
      </c>
      <c r="G208" s="3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hidden="1" x14ac:dyDescent="0.25">
      <c r="A209" s="34">
        <f t="shared" si="15"/>
        <v>0.36000000000000021</v>
      </c>
      <c r="B209" s="34">
        <f t="shared" si="16"/>
        <v>741.71138411418326</v>
      </c>
      <c r="C209" s="34">
        <f t="shared" si="12"/>
        <v>0.20558781400374929</v>
      </c>
      <c r="D209" s="34">
        <f t="shared" si="13"/>
        <v>0.35615018507825297</v>
      </c>
      <c r="E209" s="34">
        <f t="shared" si="14"/>
        <v>1.02597170487342E-2</v>
      </c>
      <c r="F209" s="34">
        <f t="shared" si="17"/>
        <v>0.8785009058345481</v>
      </c>
      <c r="G209" s="3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hidden="1" x14ac:dyDescent="0.25">
      <c r="A210" s="34">
        <f t="shared" si="15"/>
        <v>0.36500000000000021</v>
      </c>
      <c r="B210" s="34">
        <f t="shared" si="16"/>
        <v>741.91697192818697</v>
      </c>
      <c r="C210" s="34">
        <f t="shared" si="12"/>
        <v>0.20949041394332768</v>
      </c>
      <c r="D210" s="34">
        <f t="shared" si="13"/>
        <v>0.35969372871893524</v>
      </c>
      <c r="E210" s="34">
        <f t="shared" si="14"/>
        <v>1.027912257586459E-2</v>
      </c>
      <c r="F210" s="34">
        <f t="shared" si="17"/>
        <v>0.8887800284104127</v>
      </c>
      <c r="G210" s="3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hidden="1" x14ac:dyDescent="0.25">
      <c r="A211" s="34">
        <f t="shared" si="15"/>
        <v>0.37000000000000022</v>
      </c>
      <c r="B211" s="34">
        <f t="shared" si="16"/>
        <v>742.12646234213025</v>
      </c>
      <c r="C211" s="34">
        <f t="shared" si="12"/>
        <v>0.21298152811311877</v>
      </c>
      <c r="D211" s="34">
        <f t="shared" si="13"/>
        <v>0.3633387573246466</v>
      </c>
      <c r="E211" s="34">
        <f t="shared" si="14"/>
        <v>1.0297241247592417E-2</v>
      </c>
      <c r="F211" s="34">
        <f t="shared" si="17"/>
        <v>0.89907726965800516</v>
      </c>
      <c r="G211" s="3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hidden="1" x14ac:dyDescent="0.25">
      <c r="A212" s="34">
        <f t="shared" si="15"/>
        <v>0.37500000000000022</v>
      </c>
      <c r="B212" s="34">
        <f t="shared" si="16"/>
        <v>742.33944387024337</v>
      </c>
      <c r="C212" s="34">
        <f t="shared" si="12"/>
        <v>0.21612446599768456</v>
      </c>
      <c r="D212" s="34">
        <f t="shared" si="13"/>
        <v>0.3670802563240213</v>
      </c>
      <c r="E212" s="34">
        <f t="shared" si="14"/>
        <v>1.0314278897059215E-2</v>
      </c>
      <c r="F212" s="34">
        <f t="shared" si="17"/>
        <v>0.90939154855506432</v>
      </c>
      <c r="G212" s="3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hidden="1" x14ac:dyDescent="0.25">
      <c r="A213" s="34">
        <f t="shared" si="15"/>
        <v>0.38000000000000023</v>
      </c>
      <c r="B213" s="34">
        <f t="shared" si="16"/>
        <v>742.55556833624109</v>
      </c>
      <c r="C213" s="34">
        <f t="shared" si="12"/>
        <v>0.21897359859821913</v>
      </c>
      <c r="D213" s="34">
        <f t="shared" si="13"/>
        <v>0.37091412704923216</v>
      </c>
      <c r="E213" s="34">
        <f t="shared" si="14"/>
        <v>1.0330412420118175E-2</v>
      </c>
      <c r="F213" s="34">
        <f t="shared" si="17"/>
        <v>0.91972196097518255</v>
      </c>
      <c r="G213" s="3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hidden="1" x14ac:dyDescent="0.25">
      <c r="A214" s="34">
        <f t="shared" si="15"/>
        <v>0.38500000000000023</v>
      </c>
      <c r="B214" s="34">
        <f t="shared" si="16"/>
        <v>742.77454193483936</v>
      </c>
      <c r="C214" s="34">
        <f t="shared" si="12"/>
        <v>0.22157558102640579</v>
      </c>
      <c r="D214" s="34">
        <f t="shared" si="13"/>
        <v>0.37483706659717686</v>
      </c>
      <c r="E214" s="34">
        <f t="shared" si="14"/>
        <v>1.0345793746405142E-2</v>
      </c>
      <c r="F214" s="34">
        <f t="shared" si="17"/>
        <v>0.93006775472158765</v>
      </c>
      <c r="G214" s="3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hidden="1" x14ac:dyDescent="0.25">
      <c r="A215" s="34">
        <f t="shared" si="15"/>
        <v>0.39000000000000024</v>
      </c>
      <c r="B215" s="34">
        <f t="shared" si="16"/>
        <v>742.99611751586576</v>
      </c>
      <c r="C215" s="34">
        <f t="shared" si="12"/>
        <v>0.22397042276223819</v>
      </c>
      <c r="D215" s="34">
        <f t="shared" si="13"/>
        <v>0.37884646440999697</v>
      </c>
      <c r="E215" s="34">
        <f t="shared" si="14"/>
        <v>1.0360553313190064E-2</v>
      </c>
      <c r="F215" s="34">
        <f t="shared" si="17"/>
        <v>0.94042830803477773</v>
      </c>
      <c r="G215" s="3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hidden="1" x14ac:dyDescent="0.25">
      <c r="A216" s="34">
        <f t="shared" si="15"/>
        <v>0.39500000000000024</v>
      </c>
      <c r="B216" s="34">
        <f t="shared" si="16"/>
        <v>743.22008793862801</v>
      </c>
      <c r="C216" s="34">
        <f t="shared" si="12"/>
        <v>0.22619242044119442</v>
      </c>
      <c r="D216" s="34">
        <f t="shared" si="13"/>
        <v>0.38294031335331663</v>
      </c>
      <c r="E216" s="34">
        <f t="shared" si="14"/>
        <v>1.0374803091329243E-2</v>
      </c>
      <c r="F216" s="34">
        <f t="shared" si="17"/>
        <v>0.95080311112610694</v>
      </c>
      <c r="G216" s="3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hidden="1" x14ac:dyDescent="0.25">
      <c r="A217" s="34">
        <f t="shared" si="15"/>
        <v>0.40000000000000024</v>
      </c>
      <c r="B217" s="34">
        <f t="shared" si="16"/>
        <v>743.44628035906919</v>
      </c>
      <c r="C217" s="34">
        <f t="shared" si="12"/>
        <v>0.22827096786688844</v>
      </c>
      <c r="D217" s="34">
        <f t="shared" si="13"/>
        <v>0.3871171333540509</v>
      </c>
      <c r="E217" s="34">
        <f t="shared" si="14"/>
        <v>1.0388639211765791E-2</v>
      </c>
      <c r="F217" s="34">
        <f t="shared" si="17"/>
        <v>0.96119175033787274</v>
      </c>
      <c r="G217" s="3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hidden="1" x14ac:dyDescent="0.25">
      <c r="A218" s="34">
        <f t="shared" si="15"/>
        <v>0.40500000000000025</v>
      </c>
      <c r="B218" s="34">
        <f t="shared" si="16"/>
        <v>743.67455132693613</v>
      </c>
      <c r="C218" s="34">
        <f t="shared" si="12"/>
        <v>0.23023125727659621</v>
      </c>
      <c r="D218" s="34">
        <f t="shared" si="13"/>
        <v>0.39137590591088617</v>
      </c>
      <c r="E218" s="34">
        <f t="shared" si="14"/>
        <v>1.0402144238620637E-2</v>
      </c>
      <c r="F218" s="34">
        <f t="shared" si="17"/>
        <v>0.97159389457649337</v>
      </c>
      <c r="G218" s="3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hidden="1" x14ac:dyDescent="0.25">
      <c r="A219" s="34">
        <f t="shared" si="15"/>
        <v>0.41000000000000025</v>
      </c>
      <c r="B219" s="34">
        <f t="shared" si="16"/>
        <v>743.90478258421274</v>
      </c>
      <c r="C219" s="34">
        <f t="shared" si="12"/>
        <v>0.23209488492526503</v>
      </c>
      <c r="D219" s="34">
        <f t="shared" si="13"/>
        <v>0.39571601801205941</v>
      </c>
      <c r="E219" s="34">
        <f t="shared" si="14"/>
        <v>1.0415389131625558E-2</v>
      </c>
      <c r="F219" s="34">
        <f t="shared" si="17"/>
        <v>0.98200928370811891</v>
      </c>
      <c r="G219" s="3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hidden="1" x14ac:dyDescent="0.25">
      <c r="A220" s="34">
        <f t="shared" si="15"/>
        <v>0.41500000000000026</v>
      </c>
      <c r="B220" s="34">
        <f t="shared" si="16"/>
        <v>744.13687746913797</v>
      </c>
      <c r="C220" s="34">
        <f t="shared" si="12"/>
        <v>0.23388037293933445</v>
      </c>
      <c r="D220" s="34">
        <f t="shared" si="13"/>
        <v>0.40013721418990494</v>
      </c>
      <c r="E220" s="34">
        <f t="shared" si="14"/>
        <v>1.0428434936912707E-2</v>
      </c>
      <c r="F220" s="34">
        <f t="shared" si="17"/>
        <v>0.99243771864503161</v>
      </c>
      <c r="G220" s="3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hidden="1" x14ac:dyDescent="0.25">
      <c r="A221" s="34">
        <f t="shared" si="15"/>
        <v>0.42000000000000026</v>
      </c>
      <c r="B221" s="34">
        <f t="shared" si="16"/>
        <v>744.3707578420773</v>
      </c>
      <c r="C221" s="34">
        <f t="shared" si="12"/>
        <v>0.23560361822630924</v>
      </c>
      <c r="D221" s="34">
        <f t="shared" si="13"/>
        <v>0.40463955561210563</v>
      </c>
      <c r="E221" s="34">
        <f t="shared" si="14"/>
        <v>1.0441334241307929E-2</v>
      </c>
      <c r="F221" s="34">
        <f t="shared" si="17"/>
        <v>1.0028790528863396</v>
      </c>
      <c r="G221" s="3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hidden="1" x14ac:dyDescent="0.25">
      <c r="A222" s="34">
        <f t="shared" si="15"/>
        <v>0.42500000000000027</v>
      </c>
      <c r="B222" s="34">
        <f t="shared" si="16"/>
        <v>744.60636146030356</v>
      </c>
      <c r="C222" s="34">
        <f t="shared" si="12"/>
        <v>0.23727827807051693</v>
      </c>
      <c r="D222" s="34">
        <f t="shared" si="13"/>
        <v>0.40922338525868035</v>
      </c>
      <c r="E222" s="34">
        <f t="shared" si="14"/>
        <v>1.0454132421466162E-2</v>
      </c>
      <c r="F222" s="34">
        <f t="shared" si="17"/>
        <v>1.0133331853078058</v>
      </c>
      <c r="G222" s="3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hidden="1" x14ac:dyDescent="0.25">
      <c r="A223" s="34">
        <f t="shared" si="15"/>
        <v>0.43000000000000027</v>
      </c>
      <c r="B223" s="34">
        <f t="shared" si="16"/>
        <v>744.84363973837412</v>
      </c>
      <c r="C223" s="34">
        <f t="shared" si="12"/>
        <v>0.23891610094352519</v>
      </c>
      <c r="D223" s="34">
        <f t="shared" si="13"/>
        <v>0.41388929836354077</v>
      </c>
      <c r="E223" s="34">
        <f t="shared" si="14"/>
        <v>1.0466868715570581E-2</v>
      </c>
      <c r="F223" s="34">
        <f t="shared" si="17"/>
        <v>1.0238000540233765</v>
      </c>
      <c r="G223" s="3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hidden="1" x14ac:dyDescent="0.25">
      <c r="A224" s="34">
        <f t="shared" si="15"/>
        <v>0.43500000000000028</v>
      </c>
      <c r="B224" s="34">
        <f t="shared" si="16"/>
        <v>745.08255583931759</v>
      </c>
      <c r="C224" s="34">
        <f t="shared" si="12"/>
        <v>0.24052721003139702</v>
      </c>
      <c r="D224" s="34">
        <f t="shared" si="13"/>
        <v>0.41863811741240381</v>
      </c>
      <c r="E224" s="34">
        <f t="shared" si="14"/>
        <v>1.0479577141959717E-2</v>
      </c>
      <c r="F224" s="34">
        <f t="shared" si="17"/>
        <v>1.0342796311653362</v>
      </c>
      <c r="G224" s="3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hidden="1" x14ac:dyDescent="0.25">
      <c r="A225" s="34">
        <f t="shared" si="15"/>
        <v>0.44000000000000028</v>
      </c>
      <c r="B225" s="34">
        <f t="shared" si="16"/>
        <v>745.32308304934895</v>
      </c>
      <c r="C225" s="34">
        <f t="shared" si="12"/>
        <v>0.24212034604185612</v>
      </c>
      <c r="D225" s="34">
        <f t="shared" si="13"/>
        <v>0.42347087108705284</v>
      </c>
      <c r="E225" s="34">
        <f t="shared" si="14"/>
        <v>1.0492287285981743E-2</v>
      </c>
      <c r="F225" s="34">
        <f t="shared" si="17"/>
        <v>1.044771918451318</v>
      </c>
      <c r="G225" s="3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hidden="1" x14ac:dyDescent="0.25">
      <c r="A226" s="34">
        <f t="shared" si="15"/>
        <v>0.44500000000000028</v>
      </c>
      <c r="B226" s="34">
        <f t="shared" si="16"/>
        <v>745.56520339539077</v>
      </c>
      <c r="C226" s="34">
        <f t="shared" si="12"/>
        <v>0.24370307500881769</v>
      </c>
      <c r="D226" s="34">
        <f t="shared" si="13"/>
        <v>0.42838877663098701</v>
      </c>
      <c r="E226" s="34">
        <f t="shared" si="14"/>
        <v>1.0505024973620141E-2</v>
      </c>
      <c r="F226" s="34">
        <f t="shared" si="17"/>
        <v>1.0552769434249381</v>
      </c>
      <c r="G226" s="3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hidden="1" x14ac:dyDescent="0.25">
      <c r="A227" s="34">
        <f t="shared" si="15"/>
        <v>0.45000000000000029</v>
      </c>
      <c r="B227" s="34">
        <f t="shared" si="16"/>
        <v>745.80890647039962</v>
      </c>
      <c r="C227" s="34">
        <f t="shared" si="12"/>
        <v>0.24528196605614949</v>
      </c>
      <c r="D227" s="34">
        <f t="shared" si="13"/>
        <v>0.43339322518533674</v>
      </c>
      <c r="E227" s="34">
        <f t="shared" si="14"/>
        <v>1.0517812847976994E-2</v>
      </c>
      <c r="F227" s="34">
        <f t="shared" si="17"/>
        <v>1.0657947562729151</v>
      </c>
      <c r="G227" s="3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hidden="1" x14ac:dyDescent="0.25">
      <c r="A228" s="34">
        <f t="shared" si="15"/>
        <v>0.45500000000000029</v>
      </c>
      <c r="B228" s="34">
        <f t="shared" si="16"/>
        <v>746.05418843645577</v>
      </c>
      <c r="C228" s="34">
        <f t="shared" si="12"/>
        <v>0.24686274341463751</v>
      </c>
      <c r="D228" s="34">
        <f t="shared" si="13"/>
        <v>0.43848576970777892</v>
      </c>
      <c r="E228" s="34">
        <f t="shared" si="14"/>
        <v>1.0530670862529725E-2</v>
      </c>
      <c r="F228" s="34">
        <f t="shared" si="17"/>
        <v>1.0763254271354448</v>
      </c>
      <c r="G228" s="3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hidden="1" x14ac:dyDescent="0.25">
      <c r="A229" s="34">
        <f t="shared" si="15"/>
        <v>0.4600000000000003</v>
      </c>
      <c r="B229" s="34">
        <f t="shared" si="16"/>
        <v>746.30105117987046</v>
      </c>
      <c r="C229" s="34">
        <f t="shared" si="12"/>
        <v>0.24845041639783136</v>
      </c>
      <c r="D229" s="34">
        <f t="shared" si="13"/>
        <v>0.44366811514263443</v>
      </c>
      <c r="E229" s="34">
        <f t="shared" si="14"/>
        <v>1.0543616703167207E-2</v>
      </c>
      <c r="F229" s="34">
        <f t="shared" si="17"/>
        <v>1.0868690438386119</v>
      </c>
      <c r="G229" s="3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hidden="1" x14ac:dyDescent="0.25">
      <c r="A230" s="34">
        <f t="shared" si="15"/>
        <v>0.4650000000000003</v>
      </c>
      <c r="B230" s="34">
        <f t="shared" si="16"/>
        <v>746.54950159626833</v>
      </c>
      <c r="C230" s="34">
        <f t="shared" si="12"/>
        <v>0.25004939052996294</v>
      </c>
      <c r="D230" s="34">
        <f t="shared" si="13"/>
        <v>0.44894211055805988</v>
      </c>
      <c r="E230" s="34">
        <f t="shared" si="14"/>
        <v>1.0556666149348769E-2</v>
      </c>
      <c r="F230" s="34">
        <f t="shared" si="17"/>
        <v>1.0974257099879607</v>
      </c>
      <c r="G230" s="3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hidden="1" x14ac:dyDescent="0.25">
      <c r="A231" s="34">
        <f t="shared" si="15"/>
        <v>0.47000000000000031</v>
      </c>
      <c r="B231" s="34">
        <f t="shared" si="16"/>
        <v>746.79955098679829</v>
      </c>
      <c r="C231" s="34">
        <f t="shared" si="12"/>
        <v>0.25166356257108291</v>
      </c>
      <c r="D231" s="34">
        <f t="shared" si="13"/>
        <v>0.45430974300782767</v>
      </c>
      <c r="E231" s="34">
        <f t="shared" si="14"/>
        <v>1.0569833383277067E-2</v>
      </c>
      <c r="F231" s="34">
        <f t="shared" si="17"/>
        <v>1.1079955433712378</v>
      </c>
      <c r="G231" s="3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hidden="1" x14ac:dyDescent="0.25">
      <c r="A232" s="34">
        <f t="shared" si="15"/>
        <v>0.47500000000000031</v>
      </c>
      <c r="B232" s="34">
        <f t="shared" si="16"/>
        <v>747.05121454936943</v>
      </c>
      <c r="C232" s="34">
        <f t="shared" si="12"/>
        <v>0.25329640179713786</v>
      </c>
      <c r="D232" s="34">
        <f t="shared" si="13"/>
        <v>0.45977313291102451</v>
      </c>
      <c r="E232" s="34">
        <f t="shared" si="14"/>
        <v>1.0583131254720513E-2</v>
      </c>
      <c r="F232" s="34">
        <f t="shared" si="17"/>
        <v>1.1185786746259583</v>
      </c>
      <c r="G232" s="3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hidden="1" x14ac:dyDescent="0.25">
      <c r="A233" s="34">
        <f t="shared" si="15"/>
        <v>0.48000000000000032</v>
      </c>
      <c r="B233" s="34">
        <f t="shared" si="16"/>
        <v>747.30451095116655</v>
      </c>
      <c r="C233" s="34">
        <f t="shared" si="12"/>
        <v>0.25495101955722133</v>
      </c>
      <c r="D233" s="34">
        <f t="shared" si="13"/>
        <v>0.46533453077410969</v>
      </c>
      <c r="E233" s="34">
        <f t="shared" si="14"/>
        <v>1.0596571508034542E-2</v>
      </c>
      <c r="F233" s="34">
        <f t="shared" si="17"/>
        <v>1.1291752461339928</v>
      </c>
      <c r="G233" s="3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hidden="1" x14ac:dyDescent="0.25">
      <c r="A234" s="34">
        <f t="shared" si="15"/>
        <v>0.48500000000000032</v>
      </c>
      <c r="B234" s="34">
        <f t="shared" si="16"/>
        <v>747.55946197072376</v>
      </c>
      <c r="C234" s="34">
        <f t="shared" si="12"/>
        <v>0.25663022884103415</v>
      </c>
      <c r="D234" s="34">
        <f t="shared" si="13"/>
        <v>0.47099631510672685</v>
      </c>
      <c r="E234" s="34">
        <f t="shared" si="14"/>
        <v>1.0610164976994983E-2</v>
      </c>
      <c r="F234" s="34">
        <f t="shared" si="17"/>
        <v>1.1397854111109877</v>
      </c>
      <c r="G234" s="3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hidden="1" x14ac:dyDescent="0.25">
      <c r="A235" s="34">
        <f t="shared" si="15"/>
        <v>0.49000000000000032</v>
      </c>
      <c r="B235" s="34">
        <f t="shared" si="16"/>
        <v>747.81609219956476</v>
      </c>
      <c r="C235" s="34">
        <f t="shared" si="12"/>
        <v>0.25833659534034314</v>
      </c>
      <c r="D235" s="34">
        <f t="shared" si="13"/>
        <v>0.47676099140611161</v>
      </c>
      <c r="E235" s="34">
        <f t="shared" si="14"/>
        <v>1.0623921752250029E-2</v>
      </c>
      <c r="F235" s="34">
        <f t="shared" si="17"/>
        <v>1.1504093328632379</v>
      </c>
      <c r="G235" s="3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hidden="1" x14ac:dyDescent="0.25">
      <c r="A236" s="34">
        <f t="shared" si="15"/>
        <v>0.49500000000000033</v>
      </c>
      <c r="B236" s="34">
        <f t="shared" si="16"/>
        <v>748.07442879490509</v>
      </c>
      <c r="C236" s="34">
        <f t="shared" si="12"/>
        <v>0.26007248127477622</v>
      </c>
      <c r="D236" s="34">
        <f t="shared" si="13"/>
        <v>0.48263119210522171</v>
      </c>
      <c r="E236" s="34">
        <f t="shared" si="14"/>
        <v>1.0637851325507462E-2</v>
      </c>
      <c r="F236" s="34">
        <f t="shared" si="17"/>
        <v>1.1610471841887453</v>
      </c>
      <c r="G236" s="3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hidden="1" x14ac:dyDescent="0.25">
      <c r="A237" s="34">
        <f t="shared" si="15"/>
        <v>0.50000000000000033</v>
      </c>
      <c r="B237" s="34">
        <f t="shared" si="16"/>
        <v>748.33450127617982</v>
      </c>
      <c r="C237" s="34">
        <f t="shared" si="12"/>
        <v>0.26184008306802975</v>
      </c>
      <c r="D237" s="34">
        <f t="shared" si="13"/>
        <v>0.48860967739759181</v>
      </c>
      <c r="E237" s="34">
        <f t="shared" si="14"/>
        <v>1.0651962713977526E-2</v>
      </c>
      <c r="F237" s="34">
        <f t="shared" si="17"/>
        <v>1.1716991469027229</v>
      </c>
      <c r="G237" s="3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hidden="1" x14ac:dyDescent="0.25">
      <c r="A238" s="34">
        <f t="shared" si="15"/>
        <v>0.50500000000000034</v>
      </c>
      <c r="B238" s="34">
        <f t="shared" si="16"/>
        <v>748.59634135924784</v>
      </c>
      <c r="C238" s="34">
        <f t="shared" si="12"/>
        <v>0.26364146380412473</v>
      </c>
      <c r="D238" s="34">
        <f t="shared" si="13"/>
        <v>0.494699336867305</v>
      </c>
      <c r="E238" s="34">
        <f t="shared" si="14"/>
        <v>1.0666264568086909E-2</v>
      </c>
      <c r="F238" s="34">
        <f t="shared" si="17"/>
        <v>1.1823654114708098</v>
      </c>
      <c r="G238" s="3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hidden="1" x14ac:dyDescent="0.25">
      <c r="A239" s="34">
        <f t="shared" si="15"/>
        <v>0.51000000000000034</v>
      </c>
      <c r="B239" s="34">
        <f t="shared" si="16"/>
        <v>748.85998282305195</v>
      </c>
      <c r="C239" s="34">
        <f t="shared" si="12"/>
        <v>0.26547858125824625</v>
      </c>
      <c r="D239" s="34">
        <f t="shared" si="13"/>
        <v>0.50090319186619581</v>
      </c>
      <c r="E239" s="34">
        <f t="shared" si="14"/>
        <v>1.0680765265042443E-2</v>
      </c>
      <c r="F239" s="34">
        <f t="shared" si="17"/>
        <v>1.1930461767358522</v>
      </c>
      <c r="G239" s="3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hidden="1" x14ac:dyDescent="0.25">
      <c r="A240" s="34">
        <f t="shared" si="15"/>
        <v>0.51500000000000035</v>
      </c>
      <c r="B240" s="34">
        <f t="shared" si="16"/>
        <v>749.12546140431016</v>
      </c>
      <c r="C240" s="34">
        <f t="shared" si="12"/>
        <v>0.26735331218190994</v>
      </c>
      <c r="D240" s="34">
        <f t="shared" si="13"/>
        <v>0.50722439859237922</v>
      </c>
      <c r="E240" s="34">
        <f t="shared" si="14"/>
        <v>1.0695472990452872E-2</v>
      </c>
      <c r="F240" s="34">
        <f t="shared" si="17"/>
        <v>1.2037416497263052</v>
      </c>
      <c r="G240" s="3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hidden="1" x14ac:dyDescent="0.25">
      <c r="A241" s="34">
        <f t="shared" si="15"/>
        <v>0.52000000000000035</v>
      </c>
      <c r="B241" s="34">
        <f t="shared" si="16"/>
        <v>749.39281471649201</v>
      </c>
      <c r="C241" s="34">
        <f t="shared" si="12"/>
        <v>0.26926747342416751</v>
      </c>
      <c r="D241" s="34">
        <f t="shared" si="13"/>
        <v>0.51366625183482595</v>
      </c>
      <c r="E241" s="34">
        <f t="shared" si="14"/>
        <v>1.0710395809900857E-2</v>
      </c>
      <c r="F241" s="34">
        <f t="shared" si="17"/>
        <v>1.214452045536206</v>
      </c>
      <c r="G241" s="3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hidden="1" x14ac:dyDescent="0.25">
      <c r="A242" s="34">
        <f t="shared" si="15"/>
        <v>0.52500000000000036</v>
      </c>
      <c r="B242" s="34">
        <f t="shared" si="16"/>
        <v>749.66208218991619</v>
      </c>
      <c r="C242" s="34">
        <f t="shared" si="12"/>
        <v>0.27122284038675049</v>
      </c>
      <c r="D242" s="34">
        <f t="shared" si="13"/>
        <v>0.52023218935823368</v>
      </c>
      <c r="E242" s="34">
        <f t="shared" si="14"/>
        <v>1.0725541732087045E-2</v>
      </c>
      <c r="F242" s="34">
        <f t="shared" si="17"/>
        <v>1.2251775872682931</v>
      </c>
      <c r="G242" s="3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hidden="1" x14ac:dyDescent="0.25">
      <c r="A243" s="34">
        <f t="shared" si="15"/>
        <v>0.53000000000000036</v>
      </c>
      <c r="B243" s="34">
        <f t="shared" si="16"/>
        <v>749.9333050303029</v>
      </c>
      <c r="C243" s="34">
        <f t="shared" si="12"/>
        <v>0.27322116323966195</v>
      </c>
      <c r="D243" s="34">
        <f t="shared" si="13"/>
        <v>0.52692579691100716</v>
      </c>
      <c r="E243" s="34">
        <f t="shared" si="14"/>
        <v>1.0740918764938396E-2</v>
      </c>
      <c r="F243" s="34">
        <f t="shared" si="17"/>
        <v>1.2359185060332314</v>
      </c>
      <c r="G243" s="3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hidden="1" x14ac:dyDescent="0.25">
      <c r="A244" s="34">
        <f t="shared" si="15"/>
        <v>0.53500000000000036</v>
      </c>
      <c r="B244" s="34">
        <f t="shared" si="16"/>
        <v>750.20652619354257</v>
      </c>
      <c r="C244" s="34">
        <f t="shared" si="12"/>
        <v>0.2752641812629722</v>
      </c>
      <c r="D244" s="34">
        <f t="shared" si="13"/>
        <v>0.53375081384694412</v>
      </c>
      <c r="E244" s="34">
        <f t="shared" si="14"/>
        <v>1.0756534965877456E-2</v>
      </c>
      <c r="F244" s="34">
        <f t="shared" si="17"/>
        <v>1.2466750409991088</v>
      </c>
      <c r="G244" s="3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hidden="1" x14ac:dyDescent="0.25">
      <c r="A245" s="34">
        <f t="shared" si="15"/>
        <v>0.54000000000000037</v>
      </c>
      <c r="B245" s="34">
        <f t="shared" si="16"/>
        <v>750.48179037480554</v>
      </c>
      <c r="C245" s="34">
        <f t="shared" si="12"/>
        <v>0.27735363562953241</v>
      </c>
      <c r="D245" s="34">
        <f t="shared" si="13"/>
        <v>0.54071113935828219</v>
      </c>
      <c r="E245" s="34">
        <f t="shared" si="14"/>
        <v>1.0772398487285489E-2</v>
      </c>
      <c r="F245" s="34">
        <f t="shared" si="17"/>
        <v>1.2574474394863941</v>
      </c>
      <c r="G245" s="3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hidden="1" x14ac:dyDescent="0.25">
      <c r="A246" s="34">
        <f t="shared" si="15"/>
        <v>0.54500000000000037</v>
      </c>
      <c r="B246" s="34">
        <f t="shared" si="16"/>
        <v>750.75914401043508</v>
      </c>
      <c r="C246" s="34">
        <f t="shared" si="12"/>
        <v>0.27949128089854808</v>
      </c>
      <c r="D246" s="34">
        <f t="shared" si="13"/>
        <v>0.5478108393245642</v>
      </c>
      <c r="E246" s="34">
        <f t="shared" si="14"/>
        <v>1.0788517618048964E-2</v>
      </c>
      <c r="F246" s="34">
        <f t="shared" si="17"/>
        <v>1.268235957104443</v>
      </c>
      <c r="G246" s="3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hidden="1" x14ac:dyDescent="0.25">
      <c r="A247" s="34">
        <f t="shared" si="15"/>
        <v>0.55000000000000038</v>
      </c>
      <c r="B247" s="34">
        <f t="shared" si="16"/>
        <v>751.03863529133366</v>
      </c>
      <c r="C247" s="34">
        <f t="shared" si="12"/>
        <v>0.28167889545422464</v>
      </c>
      <c r="D247" s="34">
        <f t="shared" si="13"/>
        <v>0.55505415378781664</v>
      </c>
      <c r="E247" s="34">
        <f t="shared" si="14"/>
        <v>1.0804900821964754E-2</v>
      </c>
      <c r="F247" s="34">
        <f t="shared" si="17"/>
        <v>1.2790408579264079</v>
      </c>
      <c r="G247" s="3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hidden="1" x14ac:dyDescent="0.25">
      <c r="A248" s="34">
        <f t="shared" si="15"/>
        <v>0.55500000000000038</v>
      </c>
      <c r="B248" s="34">
        <f t="shared" si="16"/>
        <v>751.32031418678787</v>
      </c>
      <c r="C248" s="34">
        <f t="shared" si="12"/>
        <v>0.28391829109082756</v>
      </c>
      <c r="D248" s="34">
        <f t="shared" si="13"/>
        <v>0.56244550507078594</v>
      </c>
      <c r="E248" s="34">
        <f t="shared" si="14"/>
        <v>1.0821556773674676E-2</v>
      </c>
      <c r="F248" s="34">
        <f t="shared" si="17"/>
        <v>1.2898624147000826</v>
      </c>
      <c r="G248" s="3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hidden="1" x14ac:dyDescent="0.25">
      <c r="A249" s="34">
        <f t="shared" si="15"/>
        <v>0.56000000000000039</v>
      </c>
      <c r="B249" s="34">
        <f t="shared" si="16"/>
        <v>751.60423247787867</v>
      </c>
      <c r="C249" s="34">
        <f t="shared" si="12"/>
        <v>0.28621132192062898</v>
      </c>
      <c r="D249" s="34">
        <f t="shared" si="13"/>
        <v>0.56998950656052416</v>
      </c>
      <c r="E249" s="34">
        <f t="shared" si="14"/>
        <v>1.0838494392721445E-2</v>
      </c>
      <c r="F249" s="34">
        <f t="shared" si="17"/>
        <v>1.3007009090928041</v>
      </c>
      <c r="G249" s="3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hidden="1" x14ac:dyDescent="0.25">
      <c r="A250" s="34">
        <f t="shared" si="15"/>
        <v>0.56500000000000039</v>
      </c>
      <c r="B250" s="34">
        <f t="shared" si="16"/>
        <v>751.8904437997993</v>
      </c>
      <c r="C250" s="34">
        <f t="shared" si="12"/>
        <v>0.28855989275790095</v>
      </c>
      <c r="D250" s="34">
        <f t="shared" si="13"/>
        <v>0.57769097218554877</v>
      </c>
      <c r="E250" s="34">
        <f t="shared" si="14"/>
        <v>1.0855722876244501E-2</v>
      </c>
      <c r="F250" s="34">
        <f t="shared" si="17"/>
        <v>1.3115566319690486</v>
      </c>
      <c r="G250" s="3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hidden="1" x14ac:dyDescent="0.25">
      <c r="A251" s="34">
        <f t="shared" si="15"/>
        <v>0.5700000000000004</v>
      </c>
      <c r="B251" s="34">
        <f t="shared" si="16"/>
        <v>752.17900369255722</v>
      </c>
      <c r="C251" s="34">
        <f t="shared" si="12"/>
        <v>0.29096596711431044</v>
      </c>
      <c r="D251" s="34">
        <f t="shared" si="13"/>
        <v>0.58555492662040931</v>
      </c>
      <c r="E251" s="34">
        <f t="shared" si="14"/>
        <v>1.087325173077878E-2</v>
      </c>
      <c r="F251" s="34">
        <f t="shared" si="17"/>
        <v>1.3224298836998274</v>
      </c>
      <c r="G251" s="3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hidden="1" x14ac:dyDescent="0.25">
      <c r="A252" s="34">
        <f t="shared" si="15"/>
        <v>0.5750000000000004</v>
      </c>
      <c r="B252" s="34">
        <f t="shared" si="16"/>
        <v>752.46996965967151</v>
      </c>
      <c r="C252" s="34">
        <f t="shared" si="12"/>
        <v>0.29343157492528249</v>
      </c>
      <c r="D252" s="34">
        <f t="shared" si="13"/>
        <v>0.59358661625739384</v>
      </c>
      <c r="E252" s="34">
        <f t="shared" si="14"/>
        <v>1.0891090803570695E-2</v>
      </c>
      <c r="F252" s="34">
        <f t="shared" si="17"/>
        <v>1.333320974503398</v>
      </c>
      <c r="G252" s="3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x14ac:dyDescent="0.25">
      <c r="A253" s="34">
        <f t="shared" si="15"/>
        <v>0.5800000000000004</v>
      </c>
      <c r="B253" s="34">
        <f t="shared" si="16"/>
        <v>752.76340123459681</v>
      </c>
      <c r="C253" s="34">
        <f t="shared" si="12"/>
        <v>0.29595882011475144</v>
      </c>
      <c r="D253" s="34">
        <f t="shared" si="13"/>
        <v>0.60179152099101274</v>
      </c>
      <c r="E253" s="34">
        <f t="shared" si="14"/>
        <v>1.0909250313788902E-2</v>
      </c>
      <c r="F253" s="34">
        <f t="shared" si="17"/>
        <v>1.3442302248171869</v>
      </c>
      <c r="G253" s="3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x14ac:dyDescent="0.25">
      <c r="A254" s="34">
        <f t="shared" si="15"/>
        <v>0.58500000000000041</v>
      </c>
      <c r="B254" s="34">
        <f t="shared" si="16"/>
        <v>753.05936005471153</v>
      </c>
      <c r="C254" s="34">
        <f t="shared" si="12"/>
        <v>0.29854988809490374</v>
      </c>
      <c r="D254" s="34">
        <f t="shared" si="13"/>
        <v>0.6101753668672415</v>
      </c>
      <c r="E254" s="34">
        <f t="shared" si="14"/>
        <v>1.0927740883975147E-2</v>
      </c>
      <c r="F254" s="34">
        <f t="shared" si="17"/>
        <v>1.3551579657011621</v>
      </c>
      <c r="G254" s="3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x14ac:dyDescent="0.25">
      <c r="A255" s="34">
        <f t="shared" si="15"/>
        <v>0.59000000000000041</v>
      </c>
      <c r="B255" s="34">
        <f t="shared" si="16"/>
        <v>753.35790994280649</v>
      </c>
      <c r="C255" s="34">
        <f t="shared" si="12"/>
        <v>0.30120705329011599</v>
      </c>
      <c r="D255" s="34">
        <f t="shared" si="13"/>
        <v>0.618744139655934</v>
      </c>
      <c r="E255" s="34">
        <f t="shared" si="14"/>
        <v>1.0946573572059816E-2</v>
      </c>
      <c r="F255" s="34">
        <f t="shared" si="17"/>
        <v>1.3661045392732218</v>
      </c>
      <c r="G255" s="3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x14ac:dyDescent="0.25">
      <c r="A256" s="34">
        <f t="shared" si="15"/>
        <v>0.59500000000000042</v>
      </c>
      <c r="B256" s="34">
        <f t="shared" si="16"/>
        <v>753.6591169960966</v>
      </c>
      <c r="C256" s="34">
        <f t="shared" si="12"/>
        <v>0.30393268676710483</v>
      </c>
      <c r="D256" s="34">
        <f t="shared" si="13"/>
        <v>0.62750409941197671</v>
      </c>
      <c r="E256" s="34">
        <f t="shared" si="14"/>
        <v>1.096575990424668E-2</v>
      </c>
      <c r="F256" s="34">
        <f t="shared" si="17"/>
        <v>1.3770702991774686</v>
      </c>
      <c r="G256" s="3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x14ac:dyDescent="0.25">
      <c r="A257" s="35">
        <f t="shared" si="15"/>
        <v>0.60000000000000042</v>
      </c>
      <c r="B257" s="35">
        <f t="shared" si="16"/>
        <v>753.9630496828637</v>
      </c>
      <c r="C257" s="36">
        <f t="shared" si="12"/>
        <v>0.30672926404940248</v>
      </c>
      <c r="D257" s="35">
        <f t="shared" si="13"/>
        <v>0.63646179609808784</v>
      </c>
      <c r="E257" s="37">
        <f t="shared" si="14"/>
        <v>1.0985311909062885E-2</v>
      </c>
      <c r="F257" s="38">
        <f t="shared" si="17"/>
        <v>1.3880556110865314</v>
      </c>
      <c r="G257" s="3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x14ac:dyDescent="0.25">
      <c r="A258" s="34">
        <f t="shared" si="15"/>
        <v>0.60500000000000043</v>
      </c>
      <c r="B258" s="34">
        <f t="shared" si="16"/>
        <v>754.26977894691311</v>
      </c>
      <c r="C258" s="34">
        <f t="shared" si="12"/>
        <v>0.30959937319072872</v>
      </c>
      <c r="D258" s="34">
        <f t="shared" si="13"/>
        <v>0.64562408635034374</v>
      </c>
      <c r="E258" s="34">
        <f t="shared" si="14"/>
        <v>1.100524215286254E-2</v>
      </c>
      <c r="F258" s="34">
        <f t="shared" si="17"/>
        <v>1.399060853239394</v>
      </c>
      <c r="G258" s="3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D1"/>
    <mergeCell ref="E1:H1"/>
    <mergeCell ref="I1:L1"/>
    <mergeCell ref="C9:G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3FEA-7D3D-4DAC-997D-538378334191}">
  <dimension ref="A1:W126"/>
  <sheetViews>
    <sheetView tabSelected="1" topLeftCell="A8" zoomScale="85" zoomScaleNormal="85" workbookViewId="0">
      <selection activeCell="I8" sqref="I8"/>
    </sheetView>
  </sheetViews>
  <sheetFormatPr baseColWidth="10" defaultRowHeight="12.75" x14ac:dyDescent="0.2"/>
  <cols>
    <col min="1" max="8" width="11.42578125" style="48"/>
    <col min="9" max="9" width="13.28515625" style="48" bestFit="1" customWidth="1"/>
    <col min="10" max="10" width="12.85546875" style="48" bestFit="1" customWidth="1"/>
    <col min="11" max="16384" width="11.42578125" style="48"/>
  </cols>
  <sheetData>
    <row r="1" spans="1:19" ht="13.5" thickBot="1" x14ac:dyDescent="0.25">
      <c r="A1" s="137" t="s">
        <v>114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</row>
    <row r="2" spans="1:19" ht="13.5" thickBot="1" x14ac:dyDescent="0.25">
      <c r="A2" s="138" t="s">
        <v>115</v>
      </c>
      <c r="B2" s="139"/>
      <c r="C2" s="139"/>
      <c r="D2" s="140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</row>
    <row r="3" spans="1:19" ht="13.5" thickBot="1" x14ac:dyDescent="0.25">
      <c r="A3" s="138" t="s">
        <v>116</v>
      </c>
      <c r="B3" s="139"/>
      <c r="C3" s="139"/>
      <c r="D3" s="140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</row>
    <row r="4" spans="1:19" ht="13.5" thickBot="1" x14ac:dyDescent="0.25">
      <c r="A4" s="138" t="s">
        <v>117</v>
      </c>
      <c r="B4" s="139"/>
      <c r="C4" s="140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</row>
    <row r="5" spans="1:19" ht="13.5" thickBot="1" x14ac:dyDescent="0.25">
      <c r="A5" s="138" t="s">
        <v>118</v>
      </c>
      <c r="B5" s="139"/>
      <c r="C5" s="139"/>
      <c r="D5" s="140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</row>
    <row r="6" spans="1:19" ht="13.5" thickBot="1" x14ac:dyDescent="0.25">
      <c r="A6" s="138" t="s">
        <v>119</v>
      </c>
      <c r="B6" s="139"/>
      <c r="C6" s="139"/>
      <c r="D6" s="140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</row>
    <row r="7" spans="1:19" ht="13.5" thickBot="1" x14ac:dyDescent="0.25">
      <c r="A7" s="138" t="s">
        <v>120</v>
      </c>
      <c r="B7" s="139"/>
      <c r="C7" s="139"/>
      <c r="D7" s="140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</row>
    <row r="8" spans="1:19" ht="13.5" thickBot="1" x14ac:dyDescent="0.25">
      <c r="A8" s="138" t="s">
        <v>121</v>
      </c>
      <c r="B8" s="139"/>
      <c r="C8" s="139"/>
      <c r="D8" s="140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</row>
    <row r="9" spans="1:19" ht="13.5" thickBot="1" x14ac:dyDescent="0.25">
      <c r="A9" s="138" t="s">
        <v>122</v>
      </c>
      <c r="B9" s="139"/>
      <c r="C9" s="139"/>
      <c r="D9" s="139"/>
      <c r="E9" s="139"/>
      <c r="F9" s="140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</row>
    <row r="10" spans="1:19" ht="13.5" thickBot="1" x14ac:dyDescent="0.25">
      <c r="A10" s="138"/>
      <c r="B10" s="139"/>
      <c r="C10" s="139"/>
      <c r="D10" s="140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</row>
    <row r="11" spans="1:19" ht="13.5" thickBot="1" x14ac:dyDescent="0.25">
      <c r="A11" s="138"/>
      <c r="B11" s="139"/>
      <c r="C11" s="139"/>
      <c r="D11" s="140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</row>
    <row r="12" spans="1:19" ht="13.5" thickBo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</row>
    <row r="13" spans="1:19" ht="13.5" thickBo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</row>
    <row r="14" spans="1:19" ht="13.5" thickBot="1" x14ac:dyDescent="0.25">
      <c r="A14" s="138"/>
      <c r="B14" s="140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</row>
    <row r="15" spans="1:19" ht="13.5" thickBot="1" x14ac:dyDescent="0.25">
      <c r="A15" s="138"/>
      <c r="B15" s="140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</row>
    <row r="16" spans="1:19" ht="13.5" thickBot="1" x14ac:dyDescent="0.25">
      <c r="A16" s="138"/>
      <c r="B16" s="140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</row>
    <row r="17" spans="1:23" ht="13.5" thickBot="1" x14ac:dyDescent="0.25">
      <c r="A17" s="137"/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41"/>
      <c r="P17" s="141"/>
      <c r="Q17" s="137"/>
      <c r="R17" s="137"/>
      <c r="S17" s="137"/>
    </row>
    <row r="18" spans="1:23" ht="13.5" thickBot="1" x14ac:dyDescent="0.25">
      <c r="A18" s="137"/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41"/>
      <c r="P18" s="141"/>
      <c r="Q18" s="137"/>
      <c r="R18" s="141"/>
      <c r="S18" s="141"/>
    </row>
    <row r="19" spans="1:23" ht="13.5" thickBot="1" x14ac:dyDescent="0.25">
      <c r="A19" s="137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41"/>
      <c r="P19" s="141"/>
      <c r="Q19" s="137"/>
      <c r="R19" s="141"/>
      <c r="S19" s="141"/>
    </row>
    <row r="20" spans="1:23" ht="13.5" thickBot="1" x14ac:dyDescent="0.25">
      <c r="A20" s="137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42"/>
      <c r="P20" s="141"/>
      <c r="Q20" s="137"/>
      <c r="R20" s="137"/>
      <c r="S20" s="137"/>
    </row>
    <row r="21" spans="1:23" ht="13.5" thickBot="1" x14ac:dyDescent="0.25">
      <c r="A21" s="137"/>
      <c r="B21" s="137"/>
      <c r="C21" s="141"/>
      <c r="D21" s="141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41"/>
      <c r="P21" s="141"/>
      <c r="Q21" s="137"/>
      <c r="R21" s="137"/>
      <c r="S21" s="137"/>
    </row>
    <row r="22" spans="1:23" ht="13.5" thickBot="1" x14ac:dyDescent="0.25">
      <c r="A22" s="137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</row>
    <row r="23" spans="1:23" ht="13.5" thickBot="1" x14ac:dyDescent="0.25">
      <c r="A23" s="137"/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</row>
    <row r="24" spans="1:23" ht="29.1" customHeight="1" thickBot="1" x14ac:dyDescent="0.25">
      <c r="A24" s="137"/>
      <c r="B24" s="138"/>
      <c r="C24" s="140"/>
      <c r="D24" s="137"/>
      <c r="E24" s="137"/>
      <c r="F24" s="138" t="s">
        <v>123</v>
      </c>
      <c r="G24" s="140"/>
      <c r="H24" s="138" t="s">
        <v>124</v>
      </c>
      <c r="I24" s="140"/>
      <c r="J24" s="138"/>
      <c r="K24" s="140"/>
      <c r="L24" s="138"/>
      <c r="M24" s="140"/>
      <c r="N24" s="138"/>
      <c r="O24" s="140"/>
      <c r="P24" s="138"/>
      <c r="Q24" s="140"/>
      <c r="R24" s="137"/>
      <c r="S24" s="137"/>
    </row>
    <row r="25" spans="1:23" ht="39" thickBot="1" x14ac:dyDescent="0.25">
      <c r="A25" s="137"/>
      <c r="B25" s="137"/>
      <c r="C25" s="137"/>
      <c r="D25" s="137"/>
      <c r="E25" s="137"/>
      <c r="F25" s="137" t="s">
        <v>125</v>
      </c>
      <c r="G25" s="137"/>
      <c r="H25" s="137" t="s">
        <v>125</v>
      </c>
      <c r="I25" s="137"/>
      <c r="J25" s="137"/>
      <c r="K25" s="137"/>
      <c r="L25" s="137"/>
      <c r="M25" s="137"/>
      <c r="N25" s="137"/>
      <c r="O25" s="137"/>
      <c r="P25" s="137"/>
      <c r="Q25" s="143"/>
      <c r="R25" s="137"/>
      <c r="S25" s="137"/>
    </row>
    <row r="26" spans="1:23" ht="13.5" thickBot="1" x14ac:dyDescent="0.25">
      <c r="A26" s="141"/>
      <c r="B26" s="141"/>
      <c r="C26" s="141"/>
      <c r="D26" s="141"/>
      <c r="E26" s="141"/>
      <c r="F26" s="141">
        <v>0</v>
      </c>
      <c r="G26" s="141"/>
      <c r="H26" s="141">
        <v>0</v>
      </c>
      <c r="I26" s="141">
        <v>4.4824999999999997E-2</v>
      </c>
      <c r="J26" s="141">
        <f>-0.1494*I26+0.05152</f>
        <v>4.4823145000000002E-2</v>
      </c>
      <c r="K26" s="141"/>
      <c r="L26" s="141"/>
      <c r="M26" s="141"/>
      <c r="N26" s="141"/>
      <c r="O26" s="141"/>
      <c r="P26" s="141"/>
      <c r="Q26" s="141"/>
      <c r="R26" s="137"/>
      <c r="S26" s="141"/>
      <c r="T26" s="144"/>
      <c r="V26" s="145">
        <v>0</v>
      </c>
      <c r="W26" s="145">
        <v>4.4824999999999997E-2</v>
      </c>
    </row>
    <row r="27" spans="1:23" ht="13.5" thickBot="1" x14ac:dyDescent="0.25">
      <c r="A27" s="141"/>
      <c r="B27" s="141"/>
      <c r="C27" s="141"/>
      <c r="D27" s="141"/>
      <c r="E27" s="141"/>
      <c r="F27" s="141">
        <v>0.01</v>
      </c>
      <c r="G27" s="141"/>
      <c r="H27" s="141">
        <v>1.8065000000000001E-2</v>
      </c>
      <c r="I27" s="141">
        <f>I26+0.2</f>
        <v>0.24482500000000001</v>
      </c>
      <c r="J27" s="141">
        <f>-0.1494*I27+0.05152</f>
        <v>1.4943144999999998E-2</v>
      </c>
      <c r="K27" s="141"/>
      <c r="L27" s="141"/>
      <c r="M27" s="141"/>
      <c r="N27" s="141"/>
      <c r="O27" s="141"/>
      <c r="P27" s="141"/>
      <c r="Q27" s="141"/>
      <c r="R27" s="137"/>
      <c r="S27" s="141"/>
      <c r="T27" s="144"/>
      <c r="V27" s="145">
        <v>1</v>
      </c>
      <c r="W27" s="145">
        <v>4.4824999999999997E-2</v>
      </c>
    </row>
    <row r="28" spans="1:23" ht="13.5" thickBot="1" x14ac:dyDescent="0.25">
      <c r="A28" s="141"/>
      <c r="B28" s="141"/>
      <c r="C28" s="141"/>
      <c r="D28" s="141"/>
      <c r="E28" s="141"/>
      <c r="F28" s="141">
        <v>0.02</v>
      </c>
      <c r="G28" s="141"/>
      <c r="H28" s="141">
        <v>3.5864800000000002E-2</v>
      </c>
      <c r="I28" s="141"/>
      <c r="J28" s="141"/>
      <c r="K28" s="141"/>
      <c r="L28" s="141"/>
      <c r="M28" s="141"/>
      <c r="N28" s="141"/>
      <c r="O28" s="141"/>
      <c r="P28" s="141"/>
      <c r="Q28" s="141"/>
      <c r="R28" s="137"/>
      <c r="S28" s="141"/>
      <c r="T28" s="144"/>
    </row>
    <row r="29" spans="1:23" ht="13.5" thickBot="1" x14ac:dyDescent="0.25">
      <c r="A29" s="141"/>
      <c r="B29" s="141"/>
      <c r="C29" s="141"/>
      <c r="D29" s="141"/>
      <c r="E29" s="141"/>
      <c r="F29" s="141">
        <v>0.03</v>
      </c>
      <c r="G29" s="141"/>
      <c r="H29" s="141">
        <v>5.3403899999999997E-2</v>
      </c>
      <c r="I29" s="141"/>
      <c r="J29" s="141"/>
      <c r="K29" s="141"/>
      <c r="L29" s="141"/>
      <c r="M29" s="141"/>
      <c r="N29" s="141"/>
      <c r="O29" s="141"/>
      <c r="P29" s="141"/>
      <c r="Q29" s="141"/>
      <c r="R29" s="137"/>
      <c r="S29" s="141"/>
      <c r="T29" s="144"/>
    </row>
    <row r="30" spans="1:23" ht="13.5" thickBot="1" x14ac:dyDescent="0.25">
      <c r="A30" s="141"/>
      <c r="B30" s="141"/>
      <c r="C30" s="141"/>
      <c r="D30" s="141"/>
      <c r="E30" s="141"/>
      <c r="F30" s="141">
        <v>0.04</v>
      </c>
      <c r="G30" s="141"/>
      <c r="H30" s="141">
        <v>7.0686799999999994E-2</v>
      </c>
      <c r="I30" s="141"/>
      <c r="J30" s="141"/>
      <c r="K30" s="141"/>
      <c r="L30" s="141"/>
      <c r="M30" s="141"/>
      <c r="N30" s="141"/>
      <c r="O30" s="141"/>
      <c r="P30" s="141"/>
      <c r="Q30" s="141"/>
      <c r="R30" s="137"/>
      <c r="S30" s="141"/>
      <c r="T30" s="144"/>
    </row>
    <row r="31" spans="1:23" ht="13.5" thickBot="1" x14ac:dyDescent="0.25">
      <c r="A31" s="141"/>
      <c r="B31" s="141"/>
      <c r="C31" s="141"/>
      <c r="D31" s="141"/>
      <c r="E31" s="141"/>
      <c r="F31" s="141">
        <v>0.05</v>
      </c>
      <c r="G31" s="141"/>
      <c r="H31" s="141">
        <v>8.7717900000000001E-2</v>
      </c>
      <c r="I31" s="141"/>
      <c r="J31" s="141"/>
      <c r="K31" s="141"/>
      <c r="L31" s="141"/>
      <c r="M31" s="141"/>
      <c r="N31" s="141"/>
      <c r="O31" s="141"/>
      <c r="P31" s="141"/>
      <c r="Q31" s="141"/>
      <c r="R31" s="137"/>
      <c r="S31" s="141"/>
      <c r="T31" s="144"/>
    </row>
    <row r="32" spans="1:23" ht="13.5" thickBot="1" x14ac:dyDescent="0.25">
      <c r="A32" s="141"/>
      <c r="B32" s="141"/>
      <c r="C32" s="141"/>
      <c r="D32" s="141"/>
      <c r="E32" s="141"/>
      <c r="F32" s="141">
        <v>0.06</v>
      </c>
      <c r="G32" s="141"/>
      <c r="H32" s="141">
        <v>0.104501</v>
      </c>
      <c r="I32" s="141"/>
      <c r="J32" s="141"/>
      <c r="K32" s="141"/>
      <c r="L32" s="141"/>
      <c r="M32" s="141"/>
      <c r="N32" s="141"/>
      <c r="O32" s="141"/>
      <c r="P32" s="141"/>
      <c r="Q32" s="141"/>
      <c r="R32" s="137"/>
      <c r="S32" s="141"/>
      <c r="T32" s="144"/>
    </row>
    <row r="33" spans="1:20" ht="13.5" thickBot="1" x14ac:dyDescent="0.25">
      <c r="A33" s="141"/>
      <c r="B33" s="141"/>
      <c r="C33" s="141"/>
      <c r="D33" s="141"/>
      <c r="E33" s="141"/>
      <c r="F33" s="141">
        <v>7.0000000000000007E-2</v>
      </c>
      <c r="G33" s="141"/>
      <c r="H33" s="141">
        <v>0.121042</v>
      </c>
      <c r="I33" s="141"/>
      <c r="J33" s="141"/>
      <c r="K33" s="141"/>
      <c r="L33" s="141"/>
      <c r="M33" s="141"/>
      <c r="N33" s="141"/>
      <c r="O33" s="141"/>
      <c r="P33" s="141"/>
      <c r="Q33" s="141"/>
      <c r="R33" s="137"/>
      <c r="S33" s="141"/>
      <c r="T33" s="144"/>
    </row>
    <row r="34" spans="1:20" ht="13.5" thickBot="1" x14ac:dyDescent="0.25">
      <c r="A34" s="141"/>
      <c r="B34" s="141"/>
      <c r="C34" s="141"/>
      <c r="D34" s="141"/>
      <c r="E34" s="141"/>
      <c r="F34" s="141">
        <v>0.08</v>
      </c>
      <c r="G34" s="141"/>
      <c r="H34" s="141">
        <v>0.13734299999999999</v>
      </c>
      <c r="I34" s="141"/>
      <c r="J34" s="141"/>
      <c r="K34" s="141"/>
      <c r="L34" s="141"/>
      <c r="M34" s="141"/>
      <c r="N34" s="141"/>
      <c r="O34" s="141"/>
      <c r="P34" s="141"/>
      <c r="Q34" s="141"/>
      <c r="R34" s="137"/>
      <c r="S34" s="141"/>
      <c r="T34" s="144"/>
    </row>
    <row r="35" spans="1:20" ht="13.5" thickBot="1" x14ac:dyDescent="0.25">
      <c r="A35" s="141"/>
      <c r="B35" s="141"/>
      <c r="C35" s="141"/>
      <c r="D35" s="141"/>
      <c r="E35" s="141"/>
      <c r="F35" s="141">
        <v>0.09</v>
      </c>
      <c r="G35" s="141"/>
      <c r="H35" s="141">
        <v>0.15340899999999999</v>
      </c>
      <c r="I35" s="141"/>
      <c r="J35" s="141"/>
      <c r="K35" s="141"/>
      <c r="L35" s="141"/>
      <c r="M35" s="141"/>
      <c r="N35" s="141"/>
      <c r="O35" s="141"/>
      <c r="P35" s="141"/>
      <c r="Q35" s="141"/>
      <c r="R35" s="137"/>
      <c r="S35" s="141"/>
      <c r="T35" s="144"/>
    </row>
    <row r="36" spans="1:20" ht="13.5" thickBot="1" x14ac:dyDescent="0.25">
      <c r="A36" s="141"/>
      <c r="B36" s="141"/>
      <c r="C36" s="141"/>
      <c r="D36" s="141"/>
      <c r="E36" s="141"/>
      <c r="F36" s="141">
        <v>0.1</v>
      </c>
      <c r="G36" s="141"/>
      <c r="H36" s="141">
        <v>0.16924500000000001</v>
      </c>
      <c r="I36" s="141"/>
      <c r="J36" s="141"/>
      <c r="K36" s="141"/>
      <c r="L36" s="141"/>
      <c r="M36" s="141"/>
      <c r="N36" s="141"/>
      <c r="O36" s="141"/>
      <c r="P36" s="141"/>
      <c r="Q36" s="141"/>
      <c r="R36" s="137"/>
      <c r="S36" s="141"/>
      <c r="T36" s="144"/>
    </row>
    <row r="37" spans="1:20" ht="13.5" thickBot="1" x14ac:dyDescent="0.25">
      <c r="A37" s="141"/>
      <c r="B37" s="141"/>
      <c r="C37" s="141"/>
      <c r="D37" s="141"/>
      <c r="E37" s="141"/>
      <c r="F37" s="141">
        <v>0.11</v>
      </c>
      <c r="G37" s="141"/>
      <c r="H37" s="141">
        <v>0.18485299999999999</v>
      </c>
      <c r="I37" s="141"/>
      <c r="J37" s="141"/>
      <c r="K37" s="141"/>
      <c r="L37" s="141"/>
      <c r="M37" s="141"/>
      <c r="N37" s="141"/>
      <c r="O37" s="141"/>
      <c r="P37" s="141"/>
      <c r="Q37" s="141"/>
      <c r="R37" s="137"/>
      <c r="S37" s="141"/>
      <c r="T37" s="144"/>
    </row>
    <row r="38" spans="1:20" ht="13.5" thickBot="1" x14ac:dyDescent="0.25">
      <c r="A38" s="141"/>
      <c r="B38" s="141"/>
      <c r="C38" s="141"/>
      <c r="D38" s="141"/>
      <c r="E38" s="141"/>
      <c r="F38" s="141">
        <v>0.12</v>
      </c>
      <c r="G38" s="141"/>
      <c r="H38" s="141">
        <v>0.200239</v>
      </c>
      <c r="I38" s="141"/>
      <c r="J38" s="141"/>
      <c r="K38" s="141"/>
      <c r="L38" s="141"/>
      <c r="M38" s="141"/>
      <c r="N38" s="141"/>
      <c r="O38" s="141"/>
      <c r="P38" s="141"/>
      <c r="Q38" s="141"/>
      <c r="R38" s="137"/>
      <c r="S38" s="141"/>
      <c r="T38" s="144"/>
    </row>
    <row r="39" spans="1:20" ht="13.5" thickBot="1" x14ac:dyDescent="0.25">
      <c r="A39" s="141"/>
      <c r="B39" s="141"/>
      <c r="C39" s="141"/>
      <c r="D39" s="141"/>
      <c r="E39" s="141"/>
      <c r="F39" s="141">
        <v>0.13</v>
      </c>
      <c r="G39" s="141"/>
      <c r="H39" s="141">
        <v>0.21540500000000001</v>
      </c>
      <c r="I39" s="141"/>
      <c r="J39" s="141"/>
      <c r="K39" s="141"/>
      <c r="L39" s="141"/>
      <c r="M39" s="141"/>
      <c r="N39" s="141"/>
      <c r="O39" s="141"/>
      <c r="P39" s="141"/>
      <c r="Q39" s="141"/>
      <c r="R39" s="137"/>
      <c r="S39" s="141"/>
      <c r="T39" s="144"/>
    </row>
    <row r="40" spans="1:20" ht="13.5" thickBot="1" x14ac:dyDescent="0.25">
      <c r="A40" s="141"/>
      <c r="B40" s="141"/>
      <c r="C40" s="141"/>
      <c r="D40" s="141"/>
      <c r="E40" s="141"/>
      <c r="F40" s="141">
        <v>0.14000000000000001</v>
      </c>
      <c r="G40" s="141"/>
      <c r="H40" s="141">
        <v>0.23035600000000001</v>
      </c>
      <c r="I40" s="141"/>
      <c r="J40" s="141"/>
      <c r="K40" s="141"/>
      <c r="L40" s="141"/>
      <c r="M40" s="141"/>
      <c r="N40" s="141"/>
      <c r="O40" s="141"/>
      <c r="P40" s="141"/>
      <c r="Q40" s="141"/>
      <c r="R40" s="137"/>
      <c r="S40" s="141"/>
      <c r="T40" s="144"/>
    </row>
    <row r="41" spans="1:20" ht="13.5" thickBot="1" x14ac:dyDescent="0.25">
      <c r="A41" s="141"/>
      <c r="B41" s="141"/>
      <c r="C41" s="141"/>
      <c r="D41" s="141"/>
      <c r="E41" s="141"/>
      <c r="F41" s="141">
        <v>0.15</v>
      </c>
      <c r="G41" s="141"/>
      <c r="H41" s="141">
        <v>0.24509500000000001</v>
      </c>
      <c r="I41" s="141"/>
      <c r="J41" s="141"/>
      <c r="K41" s="141"/>
      <c r="L41" s="141"/>
      <c r="M41" s="141"/>
      <c r="N41" s="141"/>
      <c r="O41" s="141"/>
      <c r="P41" s="141"/>
      <c r="Q41" s="141"/>
      <c r="R41" s="137"/>
      <c r="S41" s="141"/>
      <c r="T41" s="144"/>
    </row>
    <row r="42" spans="1:20" ht="13.5" thickBot="1" x14ac:dyDescent="0.25">
      <c r="A42" s="141"/>
      <c r="B42" s="141"/>
      <c r="C42" s="141"/>
      <c r="D42" s="141"/>
      <c r="E42" s="141"/>
      <c r="F42" s="141">
        <v>0.16</v>
      </c>
      <c r="G42" s="141"/>
      <c r="H42" s="141">
        <v>0.259627</v>
      </c>
      <c r="I42" s="141"/>
      <c r="J42" s="141"/>
      <c r="K42" s="141"/>
      <c r="L42" s="141"/>
      <c r="M42" s="141"/>
      <c r="N42" s="141"/>
      <c r="O42" s="141"/>
      <c r="P42" s="141"/>
      <c r="Q42" s="141"/>
      <c r="R42" s="137"/>
      <c r="S42" s="141"/>
      <c r="T42" s="144"/>
    </row>
    <row r="43" spans="1:20" ht="13.5" thickBot="1" x14ac:dyDescent="0.25">
      <c r="A43" s="141"/>
      <c r="B43" s="141"/>
      <c r="C43" s="141"/>
      <c r="D43" s="141"/>
      <c r="E43" s="141"/>
      <c r="F43" s="141">
        <v>0.17</v>
      </c>
      <c r="G43" s="141"/>
      <c r="H43" s="141">
        <v>0.273953</v>
      </c>
      <c r="I43" s="141"/>
      <c r="J43" s="141"/>
      <c r="K43" s="141"/>
      <c r="L43" s="141"/>
      <c r="M43" s="141"/>
      <c r="N43" s="141"/>
      <c r="O43" s="141"/>
      <c r="P43" s="141"/>
      <c r="Q43" s="141"/>
      <c r="R43" s="137"/>
      <c r="S43" s="141"/>
      <c r="T43" s="144"/>
    </row>
    <row r="44" spans="1:20" ht="13.5" thickBot="1" x14ac:dyDescent="0.25">
      <c r="A44" s="141"/>
      <c r="B44" s="141"/>
      <c r="C44" s="141"/>
      <c r="D44" s="141"/>
      <c r="E44" s="141"/>
      <c r="F44" s="141">
        <v>0.18</v>
      </c>
      <c r="G44" s="141"/>
      <c r="H44" s="141">
        <v>0.28807899999999997</v>
      </c>
      <c r="I44" s="141"/>
      <c r="J44" s="141"/>
      <c r="K44" s="141"/>
      <c r="L44" s="141"/>
      <c r="M44" s="141"/>
      <c r="N44" s="141"/>
      <c r="O44" s="141"/>
      <c r="P44" s="141"/>
      <c r="Q44" s="141"/>
      <c r="R44" s="137"/>
      <c r="S44" s="141"/>
      <c r="T44" s="144"/>
    </row>
    <row r="45" spans="1:20" ht="13.5" thickBot="1" x14ac:dyDescent="0.25">
      <c r="A45" s="141"/>
      <c r="B45" s="141"/>
      <c r="C45" s="141"/>
      <c r="D45" s="141"/>
      <c r="E45" s="141"/>
      <c r="F45" s="141">
        <v>0.19</v>
      </c>
      <c r="G45" s="141"/>
      <c r="H45" s="141">
        <v>0.30200700000000003</v>
      </c>
      <c r="I45" s="141"/>
      <c r="J45" s="141"/>
      <c r="K45" s="141"/>
      <c r="L45" s="141"/>
      <c r="M45" s="141"/>
      <c r="N45" s="141"/>
      <c r="O45" s="141"/>
      <c r="P45" s="141"/>
      <c r="Q45" s="141"/>
      <c r="R45" s="137"/>
      <c r="S45" s="141"/>
      <c r="T45" s="144"/>
    </row>
    <row r="46" spans="1:20" ht="13.5" thickBot="1" x14ac:dyDescent="0.25">
      <c r="A46" s="141"/>
      <c r="B46" s="141"/>
      <c r="C46" s="141"/>
      <c r="D46" s="141"/>
      <c r="E46" s="141"/>
      <c r="F46" s="141">
        <v>0.2</v>
      </c>
      <c r="G46" s="141"/>
      <c r="H46" s="141">
        <v>0.31574200000000002</v>
      </c>
      <c r="I46" s="141"/>
      <c r="J46" s="141"/>
      <c r="K46" s="141"/>
      <c r="L46" s="141"/>
      <c r="M46" s="141"/>
      <c r="N46" s="141"/>
      <c r="O46" s="141"/>
      <c r="P46" s="141"/>
      <c r="Q46" s="141"/>
      <c r="R46" s="137"/>
      <c r="S46" s="141"/>
      <c r="T46" s="144"/>
    </row>
    <row r="47" spans="1:20" ht="13.5" thickBot="1" x14ac:dyDescent="0.25">
      <c r="A47" s="141"/>
      <c r="B47" s="141"/>
      <c r="C47" s="141"/>
      <c r="D47" s="141"/>
      <c r="E47" s="141"/>
      <c r="F47" s="141">
        <v>0.21</v>
      </c>
      <c r="G47" s="141"/>
      <c r="H47" s="141">
        <v>0.32928499999999999</v>
      </c>
      <c r="I47" s="141"/>
      <c r="J47" s="141"/>
      <c r="K47" s="141"/>
      <c r="L47" s="141"/>
      <c r="M47" s="141"/>
      <c r="N47" s="141"/>
      <c r="O47" s="141"/>
      <c r="P47" s="141"/>
      <c r="Q47" s="141"/>
      <c r="R47" s="137"/>
      <c r="S47" s="141"/>
      <c r="T47" s="144"/>
    </row>
    <row r="48" spans="1:20" ht="13.5" thickBot="1" x14ac:dyDescent="0.25">
      <c r="A48" s="141"/>
      <c r="B48" s="141"/>
      <c r="C48" s="141"/>
      <c r="D48" s="141"/>
      <c r="E48" s="141"/>
      <c r="F48" s="141">
        <v>0.22</v>
      </c>
      <c r="G48" s="141"/>
      <c r="H48" s="141">
        <v>0.34264099999999997</v>
      </c>
      <c r="I48" s="141"/>
      <c r="J48" s="141"/>
      <c r="K48" s="141"/>
      <c r="L48" s="141"/>
      <c r="M48" s="141"/>
      <c r="N48" s="141"/>
      <c r="O48" s="141"/>
      <c r="P48" s="141"/>
      <c r="Q48" s="141"/>
      <c r="R48" s="137"/>
      <c r="S48" s="141"/>
      <c r="T48" s="144"/>
    </row>
    <row r="49" spans="1:20" ht="13.5" thickBot="1" x14ac:dyDescent="0.25">
      <c r="A49" s="141"/>
      <c r="B49" s="141"/>
      <c r="C49" s="141"/>
      <c r="D49" s="141"/>
      <c r="E49" s="141"/>
      <c r="F49" s="141">
        <v>0.23</v>
      </c>
      <c r="G49" s="141"/>
      <c r="H49" s="141">
        <v>0.35581299999999999</v>
      </c>
      <c r="I49" s="141"/>
      <c r="J49" s="141"/>
      <c r="K49" s="141"/>
      <c r="L49" s="141"/>
      <c r="M49" s="141"/>
      <c r="N49" s="141"/>
      <c r="O49" s="141"/>
      <c r="P49" s="141"/>
      <c r="Q49" s="141"/>
      <c r="R49" s="137"/>
      <c r="S49" s="141"/>
      <c r="T49" s="144"/>
    </row>
    <row r="50" spans="1:20" ht="13.5" thickBot="1" x14ac:dyDescent="0.25">
      <c r="A50" s="141"/>
      <c r="B50" s="141"/>
      <c r="C50" s="141"/>
      <c r="D50" s="141"/>
      <c r="E50" s="141"/>
      <c r="F50" s="141">
        <v>0.24</v>
      </c>
      <c r="G50" s="141"/>
      <c r="H50" s="141">
        <v>0.36880400000000002</v>
      </c>
      <c r="I50" s="141"/>
      <c r="J50" s="141"/>
      <c r="K50" s="141"/>
      <c r="L50" s="141"/>
      <c r="M50" s="141"/>
      <c r="N50" s="141"/>
      <c r="O50" s="141"/>
      <c r="P50" s="141"/>
      <c r="Q50" s="141"/>
      <c r="R50" s="137"/>
      <c r="S50" s="141"/>
      <c r="T50" s="144"/>
    </row>
    <row r="51" spans="1:20" ht="13.5" thickBot="1" x14ac:dyDescent="0.25">
      <c r="A51" s="141"/>
      <c r="B51" s="141"/>
      <c r="C51" s="141"/>
      <c r="D51" s="141"/>
      <c r="E51" s="141"/>
      <c r="F51" s="141">
        <v>0.25</v>
      </c>
      <c r="G51" s="141"/>
      <c r="H51" s="141">
        <v>0.38161699999999998</v>
      </c>
      <c r="I51" s="141"/>
      <c r="J51" s="141"/>
      <c r="K51" s="141"/>
      <c r="L51" s="141"/>
      <c r="M51" s="141"/>
      <c r="N51" s="141"/>
      <c r="O51" s="141"/>
      <c r="P51" s="141"/>
      <c r="Q51" s="141"/>
      <c r="R51" s="137"/>
      <c r="S51" s="141"/>
      <c r="T51" s="144"/>
    </row>
    <row r="52" spans="1:20" ht="13.5" thickBot="1" x14ac:dyDescent="0.25">
      <c r="A52" s="141"/>
      <c r="B52" s="141"/>
      <c r="C52" s="141"/>
      <c r="D52" s="141"/>
      <c r="E52" s="141"/>
      <c r="F52" s="141">
        <v>0.26</v>
      </c>
      <c r="G52" s="141"/>
      <c r="H52" s="141">
        <v>0.39425500000000002</v>
      </c>
      <c r="I52" s="141"/>
      <c r="J52" s="141"/>
      <c r="K52" s="141"/>
      <c r="L52" s="141"/>
      <c r="M52" s="141"/>
      <c r="N52" s="141"/>
      <c r="O52" s="141"/>
      <c r="P52" s="141"/>
      <c r="Q52" s="141"/>
      <c r="R52" s="137"/>
      <c r="S52" s="141"/>
      <c r="T52" s="144"/>
    </row>
    <row r="53" spans="1:20" ht="13.5" thickBot="1" x14ac:dyDescent="0.25">
      <c r="A53" s="141"/>
      <c r="B53" s="141"/>
      <c r="C53" s="141"/>
      <c r="D53" s="141"/>
      <c r="E53" s="141"/>
      <c r="F53" s="141">
        <v>0.27</v>
      </c>
      <c r="G53" s="141"/>
      <c r="H53" s="141">
        <v>0.406721</v>
      </c>
      <c r="I53" s="141"/>
      <c r="J53" s="141"/>
      <c r="K53" s="141"/>
      <c r="L53" s="141"/>
      <c r="M53" s="141"/>
      <c r="N53" s="141"/>
      <c r="O53" s="141"/>
      <c r="P53" s="141"/>
      <c r="Q53" s="141"/>
      <c r="R53" s="137"/>
      <c r="S53" s="141"/>
      <c r="T53" s="144"/>
    </row>
    <row r="54" spans="1:20" ht="13.5" thickBot="1" x14ac:dyDescent="0.25">
      <c r="A54" s="141"/>
      <c r="B54" s="141"/>
      <c r="C54" s="141"/>
      <c r="D54" s="141"/>
      <c r="E54" s="141"/>
      <c r="F54" s="141">
        <v>0.28000000000000003</v>
      </c>
      <c r="G54" s="141"/>
      <c r="H54" s="141">
        <v>0.41901699999999997</v>
      </c>
      <c r="I54" s="141"/>
      <c r="J54" s="141"/>
      <c r="K54" s="141"/>
      <c r="L54" s="141"/>
      <c r="M54" s="141"/>
      <c r="N54" s="141"/>
      <c r="O54" s="141"/>
      <c r="P54" s="141"/>
      <c r="Q54" s="141"/>
      <c r="R54" s="137"/>
      <c r="S54" s="141"/>
      <c r="T54" s="144"/>
    </row>
    <row r="55" spans="1:20" ht="13.5" thickBot="1" x14ac:dyDescent="0.25">
      <c r="A55" s="141"/>
      <c r="B55" s="141"/>
      <c r="C55" s="141"/>
      <c r="D55" s="141"/>
      <c r="E55" s="141"/>
      <c r="F55" s="141">
        <v>0.28999999999999998</v>
      </c>
      <c r="G55" s="141"/>
      <c r="H55" s="141">
        <v>0.43114799999999998</v>
      </c>
      <c r="I55" s="141"/>
      <c r="J55" s="141"/>
      <c r="K55" s="141"/>
      <c r="L55" s="141"/>
      <c r="M55" s="141"/>
      <c r="N55" s="141"/>
      <c r="O55" s="141"/>
      <c r="P55" s="141"/>
      <c r="Q55" s="141"/>
      <c r="R55" s="137"/>
      <c r="S55" s="141"/>
      <c r="T55" s="144"/>
    </row>
    <row r="56" spans="1:20" ht="13.5" thickBot="1" x14ac:dyDescent="0.25">
      <c r="A56" s="141"/>
      <c r="B56" s="141"/>
      <c r="C56" s="141"/>
      <c r="D56" s="141"/>
      <c r="E56" s="141"/>
      <c r="F56" s="141">
        <v>0.3</v>
      </c>
      <c r="G56" s="141"/>
      <c r="H56" s="141">
        <v>0.44311600000000001</v>
      </c>
      <c r="I56" s="141"/>
      <c r="J56" s="141"/>
      <c r="K56" s="141"/>
      <c r="L56" s="141"/>
      <c r="M56" s="141"/>
      <c r="N56" s="141"/>
      <c r="O56" s="141"/>
      <c r="P56" s="141"/>
      <c r="Q56" s="141"/>
      <c r="R56" s="137"/>
      <c r="S56" s="141"/>
      <c r="T56" s="144"/>
    </row>
    <row r="57" spans="1:20" ht="13.5" thickBot="1" x14ac:dyDescent="0.25">
      <c r="A57" s="141"/>
      <c r="B57" s="141"/>
      <c r="C57" s="141"/>
      <c r="D57" s="141"/>
      <c r="E57" s="141"/>
      <c r="F57" s="141">
        <v>0.31</v>
      </c>
      <c r="G57" s="141"/>
      <c r="H57" s="141">
        <v>0.45492300000000002</v>
      </c>
      <c r="I57" s="141"/>
      <c r="J57" s="141"/>
      <c r="K57" s="141"/>
      <c r="L57" s="141"/>
      <c r="M57" s="141"/>
      <c r="N57" s="141"/>
      <c r="O57" s="141"/>
      <c r="P57" s="141"/>
      <c r="Q57" s="141"/>
      <c r="R57" s="137"/>
      <c r="S57" s="141"/>
      <c r="T57" s="144"/>
    </row>
    <row r="58" spans="1:20" ht="13.5" thickBot="1" x14ac:dyDescent="0.25">
      <c r="A58" s="141"/>
      <c r="B58" s="141"/>
      <c r="C58" s="141"/>
      <c r="D58" s="141"/>
      <c r="E58" s="141"/>
      <c r="F58" s="141">
        <v>0.32</v>
      </c>
      <c r="G58" s="141"/>
      <c r="H58" s="141">
        <v>0.46657300000000002</v>
      </c>
      <c r="I58" s="141"/>
      <c r="J58" s="141"/>
      <c r="K58" s="141"/>
      <c r="L58" s="141"/>
      <c r="M58" s="141"/>
      <c r="N58" s="141"/>
      <c r="O58" s="141"/>
      <c r="P58" s="141"/>
      <c r="Q58" s="141"/>
      <c r="R58" s="137"/>
      <c r="S58" s="141"/>
      <c r="T58" s="144"/>
    </row>
    <row r="59" spans="1:20" ht="13.5" thickBot="1" x14ac:dyDescent="0.25">
      <c r="A59" s="141"/>
      <c r="B59" s="141"/>
      <c r="C59" s="141"/>
      <c r="D59" s="141"/>
      <c r="E59" s="141"/>
      <c r="F59" s="141">
        <v>0.33</v>
      </c>
      <c r="G59" s="141"/>
      <c r="H59" s="141">
        <v>0.47806700000000002</v>
      </c>
      <c r="I59" s="141"/>
      <c r="J59" s="141"/>
      <c r="K59" s="141"/>
      <c r="L59" s="141"/>
      <c r="M59" s="141"/>
      <c r="N59" s="141"/>
      <c r="O59" s="141"/>
      <c r="P59" s="141"/>
      <c r="Q59" s="141"/>
      <c r="R59" s="137"/>
      <c r="S59" s="141"/>
      <c r="T59" s="144"/>
    </row>
    <row r="60" spans="1:20" ht="13.5" thickBot="1" x14ac:dyDescent="0.25">
      <c r="A60" s="141"/>
      <c r="B60" s="141"/>
      <c r="C60" s="141"/>
      <c r="D60" s="141"/>
      <c r="E60" s="141"/>
      <c r="F60" s="141">
        <v>0.34</v>
      </c>
      <c r="G60" s="141"/>
      <c r="H60" s="141">
        <v>0.48940899999999998</v>
      </c>
      <c r="I60" s="141"/>
      <c r="J60" s="141"/>
      <c r="K60" s="141"/>
      <c r="L60" s="141"/>
      <c r="M60" s="141"/>
      <c r="N60" s="141"/>
      <c r="O60" s="141"/>
      <c r="P60" s="141"/>
      <c r="Q60" s="141"/>
      <c r="R60" s="137"/>
      <c r="S60" s="141"/>
      <c r="T60" s="144"/>
    </row>
    <row r="61" spans="1:20" ht="13.5" thickBot="1" x14ac:dyDescent="0.25">
      <c r="A61" s="141"/>
      <c r="B61" s="141"/>
      <c r="C61" s="141"/>
      <c r="D61" s="141"/>
      <c r="E61" s="141"/>
      <c r="F61" s="141">
        <v>0.35</v>
      </c>
      <c r="G61" s="141"/>
      <c r="H61" s="141">
        <v>0.50060099999999996</v>
      </c>
      <c r="I61" s="141"/>
      <c r="J61" s="141"/>
      <c r="K61" s="141"/>
      <c r="L61" s="141"/>
      <c r="M61" s="141"/>
      <c r="N61" s="141"/>
      <c r="O61" s="141"/>
      <c r="P61" s="141"/>
      <c r="Q61" s="141"/>
      <c r="R61" s="137"/>
      <c r="S61" s="141"/>
      <c r="T61" s="144"/>
    </row>
    <row r="62" spans="1:20" ht="13.5" thickBot="1" x14ac:dyDescent="0.25">
      <c r="A62" s="141"/>
      <c r="B62" s="141"/>
      <c r="C62" s="141"/>
      <c r="D62" s="141"/>
      <c r="E62" s="141"/>
      <c r="F62" s="141">
        <v>0.36</v>
      </c>
      <c r="G62" s="141"/>
      <c r="H62" s="141">
        <v>0.51164600000000005</v>
      </c>
      <c r="I62" s="141"/>
      <c r="J62" s="141"/>
      <c r="K62" s="141"/>
      <c r="L62" s="141"/>
      <c r="M62" s="141"/>
      <c r="N62" s="141"/>
      <c r="O62" s="141"/>
      <c r="P62" s="141"/>
      <c r="Q62" s="141"/>
      <c r="R62" s="137"/>
      <c r="S62" s="141"/>
      <c r="T62" s="144"/>
    </row>
    <row r="63" spans="1:20" ht="13.5" thickBot="1" x14ac:dyDescent="0.25">
      <c r="A63" s="141"/>
      <c r="B63" s="141"/>
      <c r="C63" s="141"/>
      <c r="D63" s="141"/>
      <c r="E63" s="141"/>
      <c r="F63" s="141">
        <v>0.37</v>
      </c>
      <c r="G63" s="141"/>
      <c r="H63" s="141">
        <v>0.52254699999999998</v>
      </c>
      <c r="I63" s="141"/>
      <c r="J63" s="141"/>
      <c r="K63" s="141"/>
      <c r="L63" s="141"/>
      <c r="M63" s="141"/>
      <c r="N63" s="141"/>
      <c r="O63" s="141"/>
      <c r="P63" s="141"/>
      <c r="Q63" s="141"/>
      <c r="R63" s="137"/>
      <c r="S63" s="141"/>
      <c r="T63" s="144"/>
    </row>
    <row r="64" spans="1:20" ht="13.5" thickBot="1" x14ac:dyDescent="0.25">
      <c r="A64" s="141"/>
      <c r="B64" s="141"/>
      <c r="C64" s="141"/>
      <c r="D64" s="141"/>
      <c r="E64" s="141"/>
      <c r="F64" s="141">
        <v>0.38</v>
      </c>
      <c r="G64" s="141"/>
      <c r="H64" s="141">
        <v>0.53330500000000003</v>
      </c>
      <c r="I64" s="141"/>
      <c r="J64" s="141"/>
      <c r="K64" s="141"/>
      <c r="L64" s="141"/>
      <c r="M64" s="141"/>
      <c r="N64" s="141"/>
      <c r="O64" s="141"/>
      <c r="P64" s="141"/>
      <c r="Q64" s="141"/>
      <c r="R64" s="137"/>
      <c r="S64" s="141"/>
      <c r="T64" s="144"/>
    </row>
    <row r="65" spans="1:20" ht="13.5" thickBot="1" x14ac:dyDescent="0.25">
      <c r="A65" s="141"/>
      <c r="B65" s="141"/>
      <c r="C65" s="141"/>
      <c r="D65" s="141"/>
      <c r="E65" s="141"/>
      <c r="F65" s="141">
        <v>0.39</v>
      </c>
      <c r="G65" s="141"/>
      <c r="H65" s="141">
        <v>0.54392300000000005</v>
      </c>
      <c r="I65" s="141"/>
      <c r="J65" s="141"/>
      <c r="K65" s="141"/>
      <c r="L65" s="141"/>
      <c r="M65" s="141"/>
      <c r="N65" s="141"/>
      <c r="O65" s="141"/>
      <c r="P65" s="141"/>
      <c r="Q65" s="141"/>
      <c r="R65" s="137"/>
      <c r="S65" s="141"/>
      <c r="T65" s="144"/>
    </row>
    <row r="66" spans="1:20" ht="13.5" thickBot="1" x14ac:dyDescent="0.25">
      <c r="A66" s="141"/>
      <c r="B66" s="141"/>
      <c r="C66" s="141"/>
      <c r="D66" s="141"/>
      <c r="E66" s="141"/>
      <c r="F66" s="141">
        <v>0.4</v>
      </c>
      <c r="G66" s="141"/>
      <c r="H66" s="141">
        <v>0.55440299999999998</v>
      </c>
      <c r="I66" s="141"/>
      <c r="J66" s="141"/>
      <c r="K66" s="141"/>
      <c r="L66" s="141"/>
      <c r="M66" s="141"/>
      <c r="N66" s="141"/>
      <c r="O66" s="141"/>
      <c r="P66" s="141"/>
      <c r="Q66" s="141"/>
      <c r="R66" s="137"/>
      <c r="S66" s="141"/>
      <c r="T66" s="144"/>
    </row>
    <row r="67" spans="1:20" ht="13.5" thickBot="1" x14ac:dyDescent="0.25">
      <c r="A67" s="141"/>
      <c r="B67" s="141"/>
      <c r="C67" s="141"/>
      <c r="D67" s="141"/>
      <c r="E67" s="141"/>
      <c r="F67" s="141">
        <v>0.41</v>
      </c>
      <c r="G67" s="141"/>
      <c r="H67" s="141">
        <v>0.56474899999999995</v>
      </c>
      <c r="I67" s="141"/>
      <c r="J67" s="141"/>
      <c r="K67" s="141"/>
      <c r="L67" s="141"/>
      <c r="M67" s="141"/>
      <c r="N67" s="141"/>
      <c r="O67" s="141"/>
      <c r="P67" s="141"/>
      <c r="Q67" s="141"/>
      <c r="R67" s="137"/>
      <c r="S67" s="141"/>
      <c r="T67" s="144"/>
    </row>
    <row r="68" spans="1:20" ht="13.5" thickBot="1" x14ac:dyDescent="0.25">
      <c r="A68" s="141"/>
      <c r="B68" s="141"/>
      <c r="C68" s="141"/>
      <c r="D68" s="141"/>
      <c r="E68" s="141"/>
      <c r="F68" s="141">
        <v>0.42</v>
      </c>
      <c r="G68" s="141"/>
      <c r="H68" s="141">
        <v>0.57496100000000006</v>
      </c>
      <c r="I68" s="141"/>
      <c r="J68" s="141"/>
      <c r="K68" s="141"/>
      <c r="L68" s="141"/>
      <c r="M68" s="141"/>
      <c r="N68" s="141"/>
      <c r="O68" s="141"/>
      <c r="P68" s="141"/>
      <c r="Q68" s="141"/>
      <c r="R68" s="137"/>
      <c r="S68" s="141"/>
      <c r="T68" s="144"/>
    </row>
    <row r="69" spans="1:20" ht="13.5" thickBot="1" x14ac:dyDescent="0.25">
      <c r="A69" s="141"/>
      <c r="B69" s="141"/>
      <c r="C69" s="141"/>
      <c r="D69" s="141"/>
      <c r="E69" s="141"/>
      <c r="F69" s="141">
        <v>0.43</v>
      </c>
      <c r="G69" s="141"/>
      <c r="H69" s="141">
        <v>0.58504299999999998</v>
      </c>
      <c r="I69" s="141"/>
      <c r="J69" s="141"/>
      <c r="K69" s="141"/>
      <c r="L69" s="141"/>
      <c r="M69" s="141"/>
      <c r="N69" s="141"/>
      <c r="O69" s="141"/>
      <c r="P69" s="141"/>
      <c r="Q69" s="141"/>
      <c r="R69" s="137"/>
      <c r="S69" s="141"/>
      <c r="T69" s="144"/>
    </row>
    <row r="70" spans="1:20" ht="13.5" thickBot="1" x14ac:dyDescent="0.25">
      <c r="A70" s="141"/>
      <c r="B70" s="141"/>
      <c r="C70" s="141"/>
      <c r="D70" s="141"/>
      <c r="E70" s="141"/>
      <c r="F70" s="141">
        <v>0.44</v>
      </c>
      <c r="G70" s="141"/>
      <c r="H70" s="141">
        <v>0.59499599999999997</v>
      </c>
      <c r="I70" s="141"/>
      <c r="J70" s="141"/>
      <c r="K70" s="141"/>
      <c r="L70" s="141"/>
      <c r="M70" s="141"/>
      <c r="N70" s="141"/>
      <c r="O70" s="141"/>
      <c r="P70" s="141"/>
      <c r="Q70" s="141"/>
      <c r="R70" s="137"/>
      <c r="S70" s="141"/>
      <c r="T70" s="144"/>
    </row>
    <row r="71" spans="1:20" ht="13.5" thickBot="1" x14ac:dyDescent="0.25">
      <c r="A71" s="141"/>
      <c r="B71" s="141"/>
      <c r="C71" s="141"/>
      <c r="D71" s="141"/>
      <c r="E71" s="141"/>
      <c r="F71" s="141">
        <v>0.45</v>
      </c>
      <c r="G71" s="141"/>
      <c r="H71" s="141">
        <v>0.604823</v>
      </c>
      <c r="I71" s="141"/>
      <c r="J71" s="141"/>
      <c r="K71" s="141"/>
      <c r="L71" s="141"/>
      <c r="M71" s="141"/>
      <c r="N71" s="141"/>
      <c r="O71" s="141"/>
      <c r="P71" s="141"/>
      <c r="Q71" s="141"/>
      <c r="R71" s="137"/>
      <c r="S71" s="141"/>
      <c r="T71" s="144"/>
    </row>
    <row r="72" spans="1:20" ht="13.5" thickBot="1" x14ac:dyDescent="0.25">
      <c r="A72" s="141"/>
      <c r="B72" s="141"/>
      <c r="C72" s="141"/>
      <c r="D72" s="141"/>
      <c r="E72" s="141"/>
      <c r="F72" s="141">
        <v>0.46</v>
      </c>
      <c r="G72" s="141"/>
      <c r="H72" s="141">
        <v>0.61452499999999999</v>
      </c>
      <c r="I72" s="141"/>
      <c r="J72" s="141"/>
      <c r="K72" s="141"/>
      <c r="L72" s="141"/>
      <c r="M72" s="141"/>
      <c r="N72" s="141"/>
      <c r="O72" s="141"/>
      <c r="P72" s="141"/>
      <c r="Q72" s="141"/>
      <c r="R72" s="137"/>
      <c r="S72" s="141"/>
      <c r="T72" s="144"/>
    </row>
    <row r="73" spans="1:20" ht="13.5" thickBot="1" x14ac:dyDescent="0.25">
      <c r="A73" s="141"/>
      <c r="B73" s="141"/>
      <c r="C73" s="141"/>
      <c r="D73" s="141"/>
      <c r="E73" s="141"/>
      <c r="F73" s="141">
        <v>0.47</v>
      </c>
      <c r="G73" s="141"/>
      <c r="H73" s="141">
        <v>0.62410600000000005</v>
      </c>
      <c r="I73" s="141"/>
      <c r="J73" s="141"/>
      <c r="K73" s="141"/>
      <c r="L73" s="141"/>
      <c r="M73" s="141"/>
      <c r="N73" s="141"/>
      <c r="O73" s="141"/>
      <c r="P73" s="141"/>
      <c r="Q73" s="141"/>
      <c r="R73" s="137"/>
      <c r="S73" s="141"/>
      <c r="T73" s="144"/>
    </row>
    <row r="74" spans="1:20" ht="13.5" thickBot="1" x14ac:dyDescent="0.25">
      <c r="A74" s="141"/>
      <c r="B74" s="141"/>
      <c r="C74" s="141"/>
      <c r="D74" s="141"/>
      <c r="E74" s="141"/>
      <c r="F74" s="141">
        <v>0.48</v>
      </c>
      <c r="G74" s="141"/>
      <c r="H74" s="141">
        <v>0.63356599999999996</v>
      </c>
      <c r="I74" s="141"/>
      <c r="J74" s="141"/>
      <c r="K74" s="141"/>
      <c r="L74" s="141"/>
      <c r="M74" s="141"/>
      <c r="N74" s="141"/>
      <c r="O74" s="141"/>
      <c r="P74" s="141"/>
      <c r="Q74" s="141"/>
      <c r="R74" s="137"/>
      <c r="S74" s="141"/>
      <c r="T74" s="144"/>
    </row>
    <row r="75" spans="1:20" ht="13.5" thickBot="1" x14ac:dyDescent="0.25">
      <c r="A75" s="141"/>
      <c r="B75" s="141"/>
      <c r="C75" s="141"/>
      <c r="D75" s="141"/>
      <c r="E75" s="141"/>
      <c r="F75" s="141">
        <v>0.49</v>
      </c>
      <c r="G75" s="141"/>
      <c r="H75" s="141">
        <v>0.64290899999999995</v>
      </c>
      <c r="I75" s="141"/>
      <c r="J75" s="141"/>
      <c r="K75" s="141"/>
      <c r="L75" s="141"/>
      <c r="M75" s="141"/>
      <c r="N75" s="141"/>
      <c r="O75" s="141"/>
      <c r="P75" s="141"/>
      <c r="Q75" s="141"/>
      <c r="R75" s="137"/>
      <c r="S75" s="141"/>
      <c r="T75" s="144"/>
    </row>
    <row r="76" spans="1:20" ht="13.5" thickBot="1" x14ac:dyDescent="0.25">
      <c r="A76" s="141"/>
      <c r="B76" s="141"/>
      <c r="C76" s="141"/>
      <c r="D76" s="141"/>
      <c r="E76" s="141"/>
      <c r="F76" s="141">
        <v>0.5</v>
      </c>
      <c r="G76" s="141"/>
      <c r="H76" s="141">
        <v>0.65213500000000002</v>
      </c>
      <c r="I76" s="141"/>
      <c r="J76" s="141"/>
      <c r="K76" s="141"/>
      <c r="L76" s="141"/>
      <c r="M76" s="141"/>
      <c r="N76" s="141"/>
      <c r="O76" s="141"/>
      <c r="P76" s="141"/>
      <c r="Q76" s="141"/>
      <c r="R76" s="137"/>
      <c r="S76" s="141"/>
      <c r="T76" s="144"/>
    </row>
    <row r="77" spans="1:20" ht="13.5" thickBot="1" x14ac:dyDescent="0.25">
      <c r="A77" s="141"/>
      <c r="B77" s="141"/>
      <c r="C77" s="141"/>
      <c r="D77" s="141"/>
      <c r="E77" s="141"/>
      <c r="F77" s="141">
        <v>0.51</v>
      </c>
      <c r="G77" s="141"/>
      <c r="H77" s="141">
        <v>0.66124700000000003</v>
      </c>
      <c r="I77" s="141"/>
      <c r="J77" s="141"/>
      <c r="K77" s="141"/>
      <c r="L77" s="141"/>
      <c r="M77" s="141"/>
      <c r="N77" s="141"/>
      <c r="O77" s="141"/>
      <c r="P77" s="141"/>
      <c r="Q77" s="141"/>
      <c r="R77" s="137"/>
      <c r="S77" s="141"/>
      <c r="T77" s="144"/>
    </row>
    <row r="78" spans="1:20" ht="13.5" thickBot="1" x14ac:dyDescent="0.25">
      <c r="A78" s="141"/>
      <c r="B78" s="141"/>
      <c r="C78" s="141"/>
      <c r="D78" s="141"/>
      <c r="E78" s="141"/>
      <c r="F78" s="141">
        <v>0.52</v>
      </c>
      <c r="G78" s="141"/>
      <c r="H78" s="141">
        <v>0.67024600000000001</v>
      </c>
      <c r="I78" s="141"/>
      <c r="J78" s="141"/>
      <c r="K78" s="141"/>
      <c r="L78" s="141"/>
      <c r="M78" s="141"/>
      <c r="N78" s="141"/>
      <c r="O78" s="141"/>
      <c r="P78" s="141"/>
      <c r="Q78" s="141"/>
      <c r="R78" s="137"/>
      <c r="S78" s="141"/>
      <c r="T78" s="144"/>
    </row>
    <row r="79" spans="1:20" ht="13.5" thickBot="1" x14ac:dyDescent="0.25">
      <c r="A79" s="141"/>
      <c r="B79" s="141"/>
      <c r="C79" s="141"/>
      <c r="D79" s="141"/>
      <c r="E79" s="141"/>
      <c r="F79" s="141">
        <v>0.53</v>
      </c>
      <c r="G79" s="141"/>
      <c r="H79" s="141">
        <v>0.67913599999999996</v>
      </c>
      <c r="I79" s="141"/>
      <c r="J79" s="141"/>
      <c r="K79" s="141"/>
      <c r="L79" s="141"/>
      <c r="M79" s="141"/>
      <c r="N79" s="141"/>
      <c r="O79" s="141"/>
      <c r="P79" s="141"/>
      <c r="Q79" s="141"/>
      <c r="R79" s="137"/>
      <c r="S79" s="141"/>
      <c r="T79" s="144"/>
    </row>
    <row r="80" spans="1:20" ht="13.5" thickBot="1" x14ac:dyDescent="0.25">
      <c r="A80" s="141"/>
      <c r="B80" s="141"/>
      <c r="C80" s="141"/>
      <c r="D80" s="141"/>
      <c r="E80" s="141"/>
      <c r="F80" s="141">
        <v>0.54</v>
      </c>
      <c r="G80" s="141"/>
      <c r="H80" s="141">
        <v>0.68791599999999997</v>
      </c>
      <c r="I80" s="141"/>
      <c r="J80" s="141"/>
      <c r="K80" s="141"/>
      <c r="L80" s="141"/>
      <c r="M80" s="141"/>
      <c r="N80" s="141"/>
      <c r="O80" s="141"/>
      <c r="P80" s="141"/>
      <c r="Q80" s="141"/>
      <c r="R80" s="137"/>
      <c r="S80" s="141"/>
      <c r="T80" s="144"/>
    </row>
    <row r="81" spans="1:20" ht="13.5" thickBot="1" x14ac:dyDescent="0.25">
      <c r="A81" s="141"/>
      <c r="B81" s="141"/>
      <c r="C81" s="141"/>
      <c r="D81" s="141"/>
      <c r="E81" s="141"/>
      <c r="F81" s="141">
        <v>0.55000000000000004</v>
      </c>
      <c r="G81" s="141"/>
      <c r="H81" s="141">
        <v>0.69659000000000004</v>
      </c>
      <c r="I81" s="141"/>
      <c r="J81" s="141"/>
      <c r="K81" s="141"/>
      <c r="L81" s="141"/>
      <c r="M81" s="141"/>
      <c r="N81" s="141"/>
      <c r="O81" s="141"/>
      <c r="P81" s="141"/>
      <c r="Q81" s="141"/>
      <c r="R81" s="137"/>
      <c r="S81" s="141"/>
      <c r="T81" s="144"/>
    </row>
    <row r="82" spans="1:20" ht="13.5" thickBot="1" x14ac:dyDescent="0.25">
      <c r="A82" s="141"/>
      <c r="B82" s="141"/>
      <c r="C82" s="141"/>
      <c r="D82" s="141"/>
      <c r="E82" s="141"/>
      <c r="F82" s="141">
        <v>0.56000000000000005</v>
      </c>
      <c r="G82" s="141"/>
      <c r="H82" s="141">
        <v>0.70515899999999998</v>
      </c>
      <c r="I82" s="141"/>
      <c r="J82" s="141"/>
      <c r="K82" s="141"/>
      <c r="L82" s="141"/>
      <c r="M82" s="141"/>
      <c r="N82" s="141"/>
      <c r="O82" s="141"/>
      <c r="P82" s="141"/>
      <c r="Q82" s="141"/>
      <c r="R82" s="137"/>
      <c r="S82" s="141"/>
      <c r="T82" s="144"/>
    </row>
    <row r="83" spans="1:20" ht="13.5" thickBot="1" x14ac:dyDescent="0.25">
      <c r="A83" s="141"/>
      <c r="B83" s="141"/>
      <c r="C83" s="141"/>
      <c r="D83" s="141"/>
      <c r="E83" s="141"/>
      <c r="F83" s="141">
        <v>0.56999999999999995</v>
      </c>
      <c r="G83" s="141"/>
      <c r="H83" s="141">
        <v>0.71362400000000004</v>
      </c>
      <c r="I83" s="141"/>
      <c r="J83" s="141"/>
      <c r="K83" s="141"/>
      <c r="L83" s="141"/>
      <c r="M83" s="141"/>
      <c r="N83" s="141"/>
      <c r="O83" s="141"/>
      <c r="P83" s="141"/>
      <c r="Q83" s="141"/>
      <c r="R83" s="137"/>
      <c r="S83" s="141"/>
      <c r="T83" s="144"/>
    </row>
    <row r="84" spans="1:20" ht="13.5" thickBot="1" x14ac:dyDescent="0.25">
      <c r="A84" s="141"/>
      <c r="B84" s="141"/>
      <c r="C84" s="141"/>
      <c r="D84" s="141"/>
      <c r="E84" s="141"/>
      <c r="F84" s="141">
        <v>0.57999999999999996</v>
      </c>
      <c r="G84" s="141"/>
      <c r="H84" s="141">
        <v>0.72198799999999996</v>
      </c>
      <c r="I84" s="141"/>
      <c r="J84" s="141"/>
      <c r="K84" s="141"/>
      <c r="L84" s="141"/>
      <c r="M84" s="141"/>
      <c r="N84" s="141"/>
      <c r="O84" s="141"/>
      <c r="P84" s="141"/>
      <c r="Q84" s="141"/>
      <c r="R84" s="137"/>
      <c r="S84" s="141"/>
      <c r="T84" s="144"/>
    </row>
    <row r="85" spans="1:20" ht="13.5" thickBot="1" x14ac:dyDescent="0.25">
      <c r="A85" s="141"/>
      <c r="B85" s="141"/>
      <c r="C85" s="141"/>
      <c r="D85" s="141"/>
      <c r="E85" s="141"/>
      <c r="F85" s="141">
        <v>0.59</v>
      </c>
      <c r="G85" s="141"/>
      <c r="H85" s="141">
        <v>0.73025200000000001</v>
      </c>
      <c r="I85" s="141"/>
      <c r="J85" s="141"/>
      <c r="K85" s="141"/>
      <c r="L85" s="141"/>
      <c r="M85" s="141"/>
      <c r="N85" s="141"/>
      <c r="O85" s="141"/>
      <c r="P85" s="141"/>
      <c r="Q85" s="141"/>
      <c r="R85" s="137"/>
      <c r="S85" s="141"/>
      <c r="T85" s="144"/>
    </row>
    <row r="86" spans="1:20" ht="13.5" thickBot="1" x14ac:dyDescent="0.25">
      <c r="A86" s="141"/>
      <c r="B86" s="141"/>
      <c r="C86" s="141"/>
      <c r="D86" s="141"/>
      <c r="E86" s="141"/>
      <c r="F86" s="141">
        <v>0.6</v>
      </c>
      <c r="G86" s="141"/>
      <c r="H86" s="141">
        <v>0.73841699999999999</v>
      </c>
      <c r="I86" s="141"/>
      <c r="J86" s="141"/>
      <c r="K86" s="141"/>
      <c r="L86" s="141"/>
      <c r="M86" s="141"/>
      <c r="N86" s="141"/>
      <c r="O86" s="141"/>
      <c r="P86" s="141"/>
      <c r="Q86" s="141"/>
      <c r="R86" s="137"/>
      <c r="S86" s="141"/>
      <c r="T86" s="144"/>
    </row>
    <row r="87" spans="1:20" ht="13.5" thickBot="1" x14ac:dyDescent="0.25">
      <c r="A87" s="141"/>
      <c r="B87" s="141"/>
      <c r="C87" s="141"/>
      <c r="D87" s="141"/>
      <c r="E87" s="141"/>
      <c r="F87" s="141">
        <v>0.61</v>
      </c>
      <c r="G87" s="141"/>
      <c r="H87" s="141">
        <v>0.74648599999999998</v>
      </c>
      <c r="I87" s="141"/>
      <c r="J87" s="141"/>
      <c r="K87" s="141"/>
      <c r="L87" s="141"/>
      <c r="M87" s="141"/>
      <c r="N87" s="141"/>
      <c r="O87" s="141"/>
      <c r="P87" s="141"/>
      <c r="Q87" s="141"/>
      <c r="R87" s="137"/>
      <c r="S87" s="141"/>
      <c r="T87" s="144"/>
    </row>
    <row r="88" spans="1:20" ht="13.5" thickBot="1" x14ac:dyDescent="0.25">
      <c r="A88" s="141"/>
      <c r="B88" s="141"/>
      <c r="C88" s="141"/>
      <c r="D88" s="141"/>
      <c r="E88" s="141"/>
      <c r="F88" s="141">
        <v>0.62</v>
      </c>
      <c r="G88" s="141"/>
      <c r="H88" s="141">
        <v>0.75446000000000002</v>
      </c>
      <c r="I88" s="141"/>
      <c r="J88" s="141"/>
      <c r="K88" s="141"/>
      <c r="L88" s="141"/>
      <c r="M88" s="141"/>
      <c r="N88" s="141"/>
      <c r="O88" s="141"/>
      <c r="P88" s="141"/>
      <c r="Q88" s="141"/>
      <c r="R88" s="137"/>
      <c r="S88" s="141"/>
      <c r="T88" s="144"/>
    </row>
    <row r="89" spans="1:20" ht="13.5" thickBot="1" x14ac:dyDescent="0.25">
      <c r="A89" s="141"/>
      <c r="B89" s="141"/>
      <c r="C89" s="141"/>
      <c r="D89" s="141"/>
      <c r="E89" s="141"/>
      <c r="F89" s="141">
        <v>0.63</v>
      </c>
      <c r="G89" s="141"/>
      <c r="H89" s="141">
        <v>0.76234000000000002</v>
      </c>
      <c r="I89" s="141"/>
      <c r="J89" s="141"/>
      <c r="K89" s="141"/>
      <c r="L89" s="141"/>
      <c r="M89" s="141"/>
      <c r="N89" s="141"/>
      <c r="O89" s="141"/>
      <c r="P89" s="141"/>
      <c r="Q89" s="141"/>
      <c r="R89" s="137"/>
      <c r="S89" s="141"/>
      <c r="T89" s="144"/>
    </row>
    <row r="90" spans="1:20" ht="13.5" thickBot="1" x14ac:dyDescent="0.25">
      <c r="A90" s="141"/>
      <c r="B90" s="141"/>
      <c r="C90" s="141"/>
      <c r="D90" s="141"/>
      <c r="E90" s="141"/>
      <c r="F90" s="141">
        <v>0.64</v>
      </c>
      <c r="G90" s="141"/>
      <c r="H90" s="141">
        <v>0.77012800000000003</v>
      </c>
      <c r="I90" s="141"/>
      <c r="J90" s="141"/>
      <c r="K90" s="141"/>
      <c r="L90" s="141"/>
      <c r="M90" s="141"/>
      <c r="N90" s="141"/>
      <c r="O90" s="141"/>
      <c r="P90" s="141"/>
      <c r="Q90" s="141"/>
      <c r="R90" s="137"/>
      <c r="S90" s="141"/>
      <c r="T90" s="144"/>
    </row>
    <row r="91" spans="1:20" ht="13.5" thickBot="1" x14ac:dyDescent="0.25">
      <c r="A91" s="141"/>
      <c r="B91" s="141"/>
      <c r="C91" s="141"/>
      <c r="D91" s="141"/>
      <c r="E91" s="141"/>
      <c r="F91" s="141">
        <v>0.65</v>
      </c>
      <c r="G91" s="141"/>
      <c r="H91" s="141">
        <v>0.77782499999999999</v>
      </c>
      <c r="I91" s="141"/>
      <c r="J91" s="141"/>
      <c r="K91" s="141"/>
      <c r="L91" s="141"/>
      <c r="M91" s="141"/>
      <c r="N91" s="141"/>
      <c r="O91" s="141"/>
      <c r="P91" s="141"/>
      <c r="Q91" s="141"/>
      <c r="R91" s="137"/>
      <c r="S91" s="141"/>
      <c r="T91" s="144"/>
    </row>
    <row r="92" spans="1:20" ht="13.5" thickBot="1" x14ac:dyDescent="0.25">
      <c r="A92" s="141"/>
      <c r="B92" s="141"/>
      <c r="C92" s="141"/>
      <c r="D92" s="141"/>
      <c r="E92" s="141"/>
      <c r="F92" s="141">
        <v>0.66</v>
      </c>
      <c r="G92" s="141"/>
      <c r="H92" s="141">
        <v>0.78543300000000005</v>
      </c>
      <c r="I92" s="141"/>
      <c r="J92" s="141"/>
      <c r="K92" s="141"/>
      <c r="L92" s="141"/>
      <c r="M92" s="141"/>
      <c r="N92" s="141"/>
      <c r="O92" s="141"/>
      <c r="P92" s="141"/>
      <c r="Q92" s="141"/>
      <c r="R92" s="137"/>
      <c r="S92" s="141"/>
      <c r="T92" s="144"/>
    </row>
    <row r="93" spans="1:20" ht="13.5" thickBot="1" x14ac:dyDescent="0.25">
      <c r="A93" s="141"/>
      <c r="B93" s="141"/>
      <c r="C93" s="141"/>
      <c r="D93" s="141"/>
      <c r="E93" s="141"/>
      <c r="F93" s="141">
        <v>0.67</v>
      </c>
      <c r="G93" s="141"/>
      <c r="H93" s="141">
        <v>0.79295400000000005</v>
      </c>
      <c r="I93" s="141"/>
      <c r="J93" s="141"/>
      <c r="K93" s="141"/>
      <c r="L93" s="141"/>
      <c r="M93" s="141"/>
      <c r="N93" s="141"/>
      <c r="O93" s="141"/>
      <c r="P93" s="141"/>
      <c r="Q93" s="141"/>
      <c r="R93" s="137"/>
      <c r="S93" s="141"/>
      <c r="T93" s="144"/>
    </row>
    <row r="94" spans="1:20" ht="13.5" thickBot="1" x14ac:dyDescent="0.25">
      <c r="A94" s="141"/>
      <c r="B94" s="141"/>
      <c r="C94" s="141"/>
      <c r="D94" s="141"/>
      <c r="E94" s="141"/>
      <c r="F94" s="141">
        <v>0.68</v>
      </c>
      <c r="G94" s="141"/>
      <c r="H94" s="141">
        <v>0.80038799999999999</v>
      </c>
      <c r="I94" s="141"/>
      <c r="J94" s="141"/>
      <c r="K94" s="141"/>
      <c r="L94" s="141"/>
      <c r="M94" s="141"/>
      <c r="N94" s="141"/>
      <c r="O94" s="141"/>
      <c r="P94" s="141"/>
      <c r="Q94" s="141"/>
      <c r="R94" s="137"/>
      <c r="S94" s="141"/>
      <c r="T94" s="144"/>
    </row>
    <row r="95" spans="1:20" ht="13.5" thickBot="1" x14ac:dyDescent="0.25">
      <c r="A95" s="141"/>
      <c r="B95" s="141"/>
      <c r="C95" s="141"/>
      <c r="D95" s="141"/>
      <c r="E95" s="141"/>
      <c r="F95" s="141">
        <v>0.69</v>
      </c>
      <c r="G95" s="141"/>
      <c r="H95" s="141">
        <v>0.80773700000000004</v>
      </c>
      <c r="I95" s="141"/>
      <c r="J95" s="141"/>
      <c r="K95" s="141"/>
      <c r="L95" s="141"/>
      <c r="M95" s="141"/>
      <c r="N95" s="141"/>
      <c r="O95" s="141"/>
      <c r="P95" s="141"/>
      <c r="Q95" s="141"/>
      <c r="R95" s="137"/>
      <c r="S95" s="141"/>
      <c r="T95" s="144"/>
    </row>
    <row r="96" spans="1:20" ht="13.5" thickBot="1" x14ac:dyDescent="0.25">
      <c r="A96" s="141"/>
      <c r="B96" s="141"/>
      <c r="C96" s="141"/>
      <c r="D96" s="141"/>
      <c r="E96" s="141"/>
      <c r="F96" s="141">
        <v>0.7</v>
      </c>
      <c r="G96" s="141"/>
      <c r="H96" s="141">
        <v>0.81500300000000003</v>
      </c>
      <c r="I96" s="141"/>
      <c r="J96" s="141"/>
      <c r="K96" s="141"/>
      <c r="L96" s="141"/>
      <c r="M96" s="141"/>
      <c r="N96" s="141"/>
      <c r="O96" s="141"/>
      <c r="P96" s="141"/>
      <c r="Q96" s="141"/>
      <c r="R96" s="137"/>
      <c r="S96" s="141"/>
      <c r="T96" s="144"/>
    </row>
    <row r="97" spans="1:20" ht="13.5" thickBot="1" x14ac:dyDescent="0.25">
      <c r="A97" s="141"/>
      <c r="B97" s="141"/>
      <c r="C97" s="141"/>
      <c r="D97" s="141"/>
      <c r="E97" s="141"/>
      <c r="F97" s="141">
        <v>0.71</v>
      </c>
      <c r="G97" s="141"/>
      <c r="H97" s="141">
        <v>0.822187</v>
      </c>
      <c r="I97" s="141"/>
      <c r="J97" s="141"/>
      <c r="K97" s="141"/>
      <c r="L97" s="141"/>
      <c r="M97" s="141"/>
      <c r="N97" s="141"/>
      <c r="O97" s="141"/>
      <c r="P97" s="141"/>
      <c r="Q97" s="141"/>
      <c r="R97" s="137"/>
      <c r="S97" s="141"/>
      <c r="T97" s="144"/>
    </row>
    <row r="98" spans="1:20" ht="13.5" thickBot="1" x14ac:dyDescent="0.25">
      <c r="A98" s="141"/>
      <c r="B98" s="141"/>
      <c r="C98" s="141"/>
      <c r="D98" s="141"/>
      <c r="E98" s="141"/>
      <c r="F98" s="141">
        <v>0.72</v>
      </c>
      <c r="G98" s="141"/>
      <c r="H98" s="141">
        <v>0.82928999999999997</v>
      </c>
      <c r="I98" s="141"/>
      <c r="J98" s="141"/>
      <c r="K98" s="141"/>
      <c r="L98" s="141"/>
      <c r="M98" s="141"/>
      <c r="N98" s="141"/>
      <c r="O98" s="141"/>
      <c r="P98" s="141"/>
      <c r="Q98" s="141"/>
      <c r="R98" s="137"/>
      <c r="S98" s="141"/>
      <c r="T98" s="144"/>
    </row>
    <row r="99" spans="1:20" ht="13.5" thickBot="1" x14ac:dyDescent="0.25">
      <c r="A99" s="141"/>
      <c r="B99" s="141"/>
      <c r="C99" s="141"/>
      <c r="D99" s="141"/>
      <c r="E99" s="141"/>
      <c r="F99" s="141">
        <v>0.73</v>
      </c>
      <c r="G99" s="141"/>
      <c r="H99" s="141">
        <v>0.83631299999999997</v>
      </c>
      <c r="I99" s="141"/>
      <c r="J99" s="141"/>
      <c r="K99" s="141"/>
      <c r="L99" s="141"/>
      <c r="M99" s="141"/>
      <c r="N99" s="141"/>
      <c r="O99" s="141"/>
      <c r="P99" s="141"/>
      <c r="Q99" s="141"/>
      <c r="R99" s="137"/>
      <c r="S99" s="141"/>
      <c r="T99" s="144"/>
    </row>
    <row r="100" spans="1:20" ht="13.5" thickBot="1" x14ac:dyDescent="0.25">
      <c r="A100" s="141"/>
      <c r="B100" s="141"/>
      <c r="C100" s="141"/>
      <c r="D100" s="141"/>
      <c r="E100" s="141"/>
      <c r="F100" s="141">
        <v>0.74</v>
      </c>
      <c r="G100" s="141"/>
      <c r="H100" s="141">
        <v>0.84325799999999995</v>
      </c>
      <c r="I100" s="141"/>
      <c r="J100" s="141"/>
      <c r="K100" s="141"/>
      <c r="L100" s="141"/>
      <c r="M100" s="141"/>
      <c r="N100" s="141"/>
      <c r="O100" s="141"/>
      <c r="P100" s="141"/>
      <c r="Q100" s="141"/>
      <c r="R100" s="137"/>
      <c r="S100" s="141"/>
      <c r="T100" s="144"/>
    </row>
    <row r="101" spans="1:20" ht="13.5" thickBot="1" x14ac:dyDescent="0.25">
      <c r="A101" s="141"/>
      <c r="B101" s="141"/>
      <c r="C101" s="141"/>
      <c r="D101" s="141"/>
      <c r="E101" s="141"/>
      <c r="F101" s="141">
        <v>0.75</v>
      </c>
      <c r="G101" s="141"/>
      <c r="H101" s="141">
        <v>0.85012600000000005</v>
      </c>
      <c r="I101" s="141"/>
      <c r="J101" s="141"/>
      <c r="K101" s="141"/>
      <c r="L101" s="141"/>
      <c r="M101" s="141"/>
      <c r="N101" s="141"/>
      <c r="O101" s="141"/>
      <c r="P101" s="141"/>
      <c r="Q101" s="141"/>
      <c r="R101" s="137"/>
      <c r="S101" s="141"/>
      <c r="T101" s="144"/>
    </row>
    <row r="102" spans="1:20" ht="13.5" thickBot="1" x14ac:dyDescent="0.25">
      <c r="A102" s="141"/>
      <c r="B102" s="141"/>
      <c r="C102" s="141"/>
      <c r="D102" s="141"/>
      <c r="E102" s="141"/>
      <c r="F102" s="141">
        <v>0.76</v>
      </c>
      <c r="G102" s="141"/>
      <c r="H102" s="141">
        <v>0.85691799999999996</v>
      </c>
      <c r="I102" s="141"/>
      <c r="J102" s="141"/>
      <c r="K102" s="141"/>
      <c r="L102" s="141"/>
      <c r="M102" s="141"/>
      <c r="N102" s="141"/>
      <c r="O102" s="141"/>
      <c r="P102" s="141"/>
      <c r="Q102" s="141"/>
      <c r="R102" s="137"/>
      <c r="S102" s="141"/>
      <c r="T102" s="144"/>
    </row>
    <row r="103" spans="1:20" ht="13.5" thickBot="1" x14ac:dyDescent="0.25">
      <c r="A103" s="141"/>
      <c r="B103" s="141"/>
      <c r="C103" s="141"/>
      <c r="D103" s="141"/>
      <c r="E103" s="141"/>
      <c r="F103" s="141">
        <v>0.77</v>
      </c>
      <c r="G103" s="141"/>
      <c r="H103" s="141">
        <v>0.86363500000000004</v>
      </c>
      <c r="I103" s="141"/>
      <c r="J103" s="141"/>
      <c r="K103" s="141"/>
      <c r="L103" s="141"/>
      <c r="M103" s="141"/>
      <c r="N103" s="141"/>
      <c r="O103" s="141"/>
      <c r="P103" s="141"/>
      <c r="Q103" s="141"/>
      <c r="R103" s="137"/>
      <c r="S103" s="141"/>
      <c r="T103" s="144"/>
    </row>
    <row r="104" spans="1:20" ht="13.5" thickBot="1" x14ac:dyDescent="0.25">
      <c r="A104" s="141"/>
      <c r="B104" s="141"/>
      <c r="C104" s="141"/>
      <c r="D104" s="141"/>
      <c r="E104" s="141"/>
      <c r="F104" s="141">
        <v>0.78</v>
      </c>
      <c r="G104" s="141"/>
      <c r="H104" s="141">
        <v>0.87027900000000002</v>
      </c>
      <c r="I104" s="141"/>
      <c r="J104" s="141"/>
      <c r="K104" s="141"/>
      <c r="L104" s="141"/>
      <c r="M104" s="141"/>
      <c r="N104" s="141"/>
      <c r="O104" s="141"/>
      <c r="P104" s="141"/>
      <c r="Q104" s="141"/>
      <c r="R104" s="137"/>
      <c r="S104" s="141"/>
      <c r="T104" s="144"/>
    </row>
    <row r="105" spans="1:20" ht="13.5" thickBot="1" x14ac:dyDescent="0.25">
      <c r="A105" s="141"/>
      <c r="B105" s="141"/>
      <c r="C105" s="141"/>
      <c r="D105" s="141"/>
      <c r="E105" s="141"/>
      <c r="F105" s="141">
        <v>0.79</v>
      </c>
      <c r="G105" s="141"/>
      <c r="H105" s="141">
        <v>0.87685100000000005</v>
      </c>
      <c r="I105" s="141"/>
      <c r="J105" s="141"/>
      <c r="K105" s="141"/>
      <c r="L105" s="141"/>
      <c r="M105" s="141"/>
      <c r="N105" s="141"/>
      <c r="O105" s="141"/>
      <c r="P105" s="141"/>
      <c r="Q105" s="141"/>
      <c r="R105" s="137"/>
      <c r="S105" s="141"/>
      <c r="T105" s="144"/>
    </row>
    <row r="106" spans="1:20" ht="13.5" thickBot="1" x14ac:dyDescent="0.25">
      <c r="A106" s="141"/>
      <c r="B106" s="141"/>
      <c r="C106" s="141"/>
      <c r="D106" s="141"/>
      <c r="E106" s="141"/>
      <c r="F106" s="141">
        <v>0.8</v>
      </c>
      <c r="G106" s="141"/>
      <c r="H106" s="141">
        <v>0.883351</v>
      </c>
      <c r="I106" s="141"/>
      <c r="J106" s="141"/>
      <c r="K106" s="141"/>
      <c r="L106" s="141"/>
      <c r="M106" s="141"/>
      <c r="N106" s="141"/>
      <c r="O106" s="141"/>
      <c r="P106" s="141"/>
      <c r="Q106" s="141"/>
      <c r="R106" s="137"/>
      <c r="S106" s="141"/>
      <c r="T106" s="144"/>
    </row>
    <row r="107" spans="1:20" ht="13.5" thickBot="1" x14ac:dyDescent="0.25">
      <c r="A107" s="141"/>
      <c r="B107" s="141"/>
      <c r="C107" s="141"/>
      <c r="D107" s="141"/>
      <c r="E107" s="141"/>
      <c r="F107" s="141">
        <v>0.81</v>
      </c>
      <c r="G107" s="141"/>
      <c r="H107" s="141">
        <v>0.88978199999999996</v>
      </c>
      <c r="I107" s="141"/>
      <c r="J107" s="141"/>
      <c r="K107" s="141"/>
      <c r="L107" s="141"/>
      <c r="M107" s="141"/>
      <c r="N107" s="141"/>
      <c r="O107" s="141"/>
      <c r="P107" s="141"/>
      <c r="Q107" s="141"/>
      <c r="R107" s="137"/>
      <c r="S107" s="141"/>
      <c r="T107" s="144"/>
    </row>
    <row r="108" spans="1:20" ht="13.5" thickBot="1" x14ac:dyDescent="0.25">
      <c r="A108" s="141"/>
      <c r="B108" s="141"/>
      <c r="C108" s="141"/>
      <c r="D108" s="141"/>
      <c r="E108" s="141"/>
      <c r="F108" s="141">
        <v>0.82</v>
      </c>
      <c r="G108" s="141"/>
      <c r="H108" s="141">
        <v>0.89614300000000002</v>
      </c>
      <c r="I108" s="141"/>
      <c r="J108" s="141"/>
      <c r="K108" s="141"/>
      <c r="L108" s="141"/>
      <c r="M108" s="141"/>
      <c r="N108" s="141"/>
      <c r="O108" s="141"/>
      <c r="P108" s="141"/>
      <c r="Q108" s="141"/>
      <c r="R108" s="137"/>
      <c r="S108" s="141"/>
      <c r="T108" s="144"/>
    </row>
    <row r="109" spans="1:20" ht="13.5" thickBot="1" x14ac:dyDescent="0.25">
      <c r="A109" s="141"/>
      <c r="B109" s="141"/>
      <c r="C109" s="141"/>
      <c r="D109" s="141"/>
      <c r="E109" s="141"/>
      <c r="F109" s="141">
        <v>0.83</v>
      </c>
      <c r="G109" s="141"/>
      <c r="H109" s="141">
        <v>0.90243700000000004</v>
      </c>
      <c r="I109" s="141"/>
      <c r="J109" s="141"/>
      <c r="K109" s="141"/>
      <c r="L109" s="141"/>
      <c r="M109" s="141"/>
      <c r="N109" s="141"/>
      <c r="O109" s="141"/>
      <c r="P109" s="141"/>
      <c r="Q109" s="141"/>
      <c r="R109" s="137"/>
      <c r="S109" s="141"/>
      <c r="T109" s="144"/>
    </row>
    <row r="110" spans="1:20" ht="13.5" thickBot="1" x14ac:dyDescent="0.25">
      <c r="A110" s="141"/>
      <c r="B110" s="141"/>
      <c r="C110" s="141"/>
      <c r="D110" s="141"/>
      <c r="E110" s="141"/>
      <c r="F110" s="141">
        <v>0.84</v>
      </c>
      <c r="G110" s="141"/>
      <c r="H110" s="141">
        <v>0.90866400000000003</v>
      </c>
      <c r="I110" s="141"/>
      <c r="J110" s="141"/>
      <c r="K110" s="141"/>
      <c r="L110" s="141"/>
      <c r="M110" s="141"/>
      <c r="N110" s="141"/>
      <c r="O110" s="141"/>
      <c r="P110" s="141"/>
      <c r="Q110" s="141"/>
      <c r="R110" s="137"/>
      <c r="S110" s="141"/>
      <c r="T110" s="144"/>
    </row>
    <row r="111" spans="1:20" ht="13.5" thickBot="1" x14ac:dyDescent="0.25">
      <c r="A111" s="141"/>
      <c r="B111" s="141"/>
      <c r="C111" s="141"/>
      <c r="D111" s="141"/>
      <c r="E111" s="141"/>
      <c r="F111" s="141">
        <v>0.85</v>
      </c>
      <c r="G111" s="141"/>
      <c r="H111" s="141">
        <v>0.914825</v>
      </c>
      <c r="I111" s="141"/>
      <c r="J111" s="141"/>
      <c r="K111" s="141"/>
      <c r="L111" s="141"/>
      <c r="M111" s="141"/>
      <c r="N111" s="141"/>
      <c r="O111" s="141"/>
      <c r="P111" s="141"/>
      <c r="Q111" s="141"/>
      <c r="R111" s="137"/>
      <c r="S111" s="141"/>
      <c r="T111" s="144"/>
    </row>
    <row r="112" spans="1:20" ht="13.5" thickBot="1" x14ac:dyDescent="0.25">
      <c r="A112" s="141"/>
      <c r="B112" s="141"/>
      <c r="C112" s="141"/>
      <c r="D112" s="141"/>
      <c r="E112" s="141"/>
      <c r="F112" s="141">
        <v>0.86</v>
      </c>
      <c r="G112" s="141"/>
      <c r="H112" s="141">
        <v>0.92092099999999999</v>
      </c>
      <c r="I112" s="141"/>
      <c r="J112" s="141"/>
      <c r="K112" s="141"/>
      <c r="L112" s="141"/>
      <c r="M112" s="141"/>
      <c r="N112" s="141"/>
      <c r="O112" s="141"/>
      <c r="P112" s="141"/>
      <c r="Q112" s="141"/>
      <c r="R112" s="137"/>
      <c r="S112" s="141"/>
      <c r="T112" s="144"/>
    </row>
    <row r="113" spans="1:20" ht="13.5" thickBot="1" x14ac:dyDescent="0.25">
      <c r="A113" s="141"/>
      <c r="B113" s="141"/>
      <c r="C113" s="141"/>
      <c r="D113" s="141"/>
      <c r="E113" s="141"/>
      <c r="F113" s="141">
        <v>0.87</v>
      </c>
      <c r="G113" s="141"/>
      <c r="H113" s="141">
        <v>0.92695300000000003</v>
      </c>
      <c r="I113" s="141"/>
      <c r="J113" s="141"/>
      <c r="K113" s="141"/>
      <c r="L113" s="141"/>
      <c r="M113" s="141"/>
      <c r="N113" s="141"/>
      <c r="O113" s="141"/>
      <c r="P113" s="141"/>
      <c r="Q113" s="141"/>
      <c r="R113" s="137"/>
      <c r="S113" s="141"/>
      <c r="T113" s="144"/>
    </row>
    <row r="114" spans="1:20" ht="13.5" thickBot="1" x14ac:dyDescent="0.25">
      <c r="A114" s="141"/>
      <c r="B114" s="141"/>
      <c r="C114" s="141"/>
      <c r="D114" s="141"/>
      <c r="E114" s="141"/>
      <c r="F114" s="141">
        <v>0.88</v>
      </c>
      <c r="G114" s="141"/>
      <c r="H114" s="141">
        <v>0.93292299999999995</v>
      </c>
      <c r="I114" s="141"/>
      <c r="J114" s="141"/>
      <c r="K114" s="141"/>
      <c r="L114" s="141"/>
      <c r="M114" s="141"/>
      <c r="N114" s="141"/>
      <c r="O114" s="141"/>
      <c r="P114" s="141"/>
      <c r="Q114" s="141"/>
      <c r="R114" s="137"/>
      <c r="S114" s="141"/>
      <c r="T114" s="144"/>
    </row>
    <row r="115" spans="1:20" ht="13.5" thickBot="1" x14ac:dyDescent="0.25">
      <c r="A115" s="141"/>
      <c r="B115" s="141"/>
      <c r="C115" s="141"/>
      <c r="D115" s="141"/>
      <c r="E115" s="141"/>
      <c r="F115" s="141">
        <v>0.89</v>
      </c>
      <c r="G115" s="141"/>
      <c r="H115" s="141">
        <v>0.93883099999999997</v>
      </c>
      <c r="I115" s="141"/>
      <c r="J115" s="141"/>
      <c r="K115" s="141"/>
      <c r="L115" s="141"/>
      <c r="M115" s="141"/>
      <c r="N115" s="141"/>
      <c r="O115" s="141"/>
      <c r="P115" s="141"/>
      <c r="Q115" s="141"/>
      <c r="R115" s="137"/>
      <c r="S115" s="141"/>
      <c r="T115" s="144"/>
    </row>
    <row r="116" spans="1:20" ht="13.5" thickBot="1" x14ac:dyDescent="0.25">
      <c r="A116" s="141"/>
      <c r="B116" s="141"/>
      <c r="C116" s="141"/>
      <c r="D116" s="141"/>
      <c r="E116" s="141"/>
      <c r="F116" s="141">
        <v>0.9</v>
      </c>
      <c r="G116" s="141"/>
      <c r="H116" s="141">
        <v>0.94467800000000002</v>
      </c>
      <c r="I116" s="141"/>
      <c r="J116" s="141"/>
      <c r="K116" s="141"/>
      <c r="L116" s="141"/>
      <c r="M116" s="141"/>
      <c r="N116" s="141"/>
      <c r="O116" s="141"/>
      <c r="P116" s="141"/>
      <c r="Q116" s="141"/>
      <c r="R116" s="137"/>
      <c r="S116" s="141"/>
      <c r="T116" s="144"/>
    </row>
    <row r="117" spans="1:20" ht="13.5" thickBot="1" x14ac:dyDescent="0.25">
      <c r="A117" s="141"/>
      <c r="B117" s="141"/>
      <c r="C117" s="141"/>
      <c r="D117" s="141"/>
      <c r="E117" s="141"/>
      <c r="F117" s="141">
        <v>0.91</v>
      </c>
      <c r="G117" s="141"/>
      <c r="H117" s="141">
        <v>0.950465</v>
      </c>
      <c r="I117" s="141"/>
      <c r="J117" s="141"/>
      <c r="K117" s="141"/>
      <c r="L117" s="141"/>
      <c r="M117" s="141"/>
      <c r="N117" s="141"/>
      <c r="O117" s="141"/>
      <c r="P117" s="141"/>
      <c r="Q117" s="141"/>
      <c r="R117" s="137"/>
      <c r="S117" s="141"/>
      <c r="T117" s="144"/>
    </row>
    <row r="118" spans="1:20" ht="13.5" thickBot="1" x14ac:dyDescent="0.25">
      <c r="A118" s="141"/>
      <c r="B118" s="141"/>
      <c r="C118" s="141"/>
      <c r="D118" s="141"/>
      <c r="E118" s="141"/>
      <c r="F118" s="141">
        <v>0.92</v>
      </c>
      <c r="G118" s="141"/>
      <c r="H118" s="141">
        <v>0.95619299999999996</v>
      </c>
      <c r="I118" s="141"/>
      <c r="J118" s="141"/>
      <c r="K118" s="141"/>
      <c r="L118" s="141"/>
      <c r="M118" s="141"/>
      <c r="N118" s="141"/>
      <c r="O118" s="141"/>
      <c r="P118" s="141"/>
      <c r="Q118" s="141"/>
      <c r="R118" s="137"/>
      <c r="S118" s="141"/>
      <c r="T118" s="144"/>
    </row>
    <row r="119" spans="1:20" ht="13.5" thickBot="1" x14ac:dyDescent="0.25">
      <c r="A119" s="141"/>
      <c r="B119" s="141"/>
      <c r="C119" s="141"/>
      <c r="D119" s="141"/>
      <c r="E119" s="141"/>
      <c r="F119" s="141">
        <v>0.93</v>
      </c>
      <c r="G119" s="141"/>
      <c r="H119" s="141">
        <v>0.96186300000000002</v>
      </c>
      <c r="I119" s="141"/>
      <c r="J119" s="141"/>
      <c r="K119" s="141"/>
      <c r="L119" s="141"/>
      <c r="M119" s="141"/>
      <c r="N119" s="141"/>
      <c r="O119" s="141"/>
      <c r="P119" s="141"/>
      <c r="Q119" s="141"/>
      <c r="R119" s="137"/>
      <c r="S119" s="141"/>
      <c r="T119" s="144"/>
    </row>
    <row r="120" spans="1:20" ht="13.5" thickBot="1" x14ac:dyDescent="0.25">
      <c r="A120" s="141"/>
      <c r="B120" s="141"/>
      <c r="C120" s="141"/>
      <c r="D120" s="141"/>
      <c r="E120" s="141"/>
      <c r="F120" s="141">
        <v>0.94</v>
      </c>
      <c r="G120" s="141"/>
      <c r="H120" s="141">
        <v>0.967476</v>
      </c>
      <c r="I120" s="141"/>
      <c r="J120" s="141"/>
      <c r="K120" s="141"/>
      <c r="L120" s="141"/>
      <c r="M120" s="141"/>
      <c r="N120" s="141"/>
      <c r="O120" s="141"/>
      <c r="P120" s="141"/>
      <c r="Q120" s="141"/>
      <c r="R120" s="137"/>
      <c r="S120" s="141"/>
      <c r="T120" s="144"/>
    </row>
    <row r="121" spans="1:20" ht="13.5" thickBot="1" x14ac:dyDescent="0.25">
      <c r="A121" s="141"/>
      <c r="B121" s="141"/>
      <c r="C121" s="141"/>
      <c r="D121" s="141"/>
      <c r="E121" s="141"/>
      <c r="F121" s="141">
        <v>0.95</v>
      </c>
      <c r="G121" s="141"/>
      <c r="H121" s="141">
        <v>0.97303300000000004</v>
      </c>
      <c r="I121" s="141"/>
      <c r="J121" s="141"/>
      <c r="K121" s="141"/>
      <c r="L121" s="141"/>
      <c r="M121" s="141"/>
      <c r="N121" s="141"/>
      <c r="O121" s="141"/>
      <c r="P121" s="141"/>
      <c r="Q121" s="141"/>
      <c r="R121" s="137"/>
      <c r="S121" s="141"/>
      <c r="T121" s="144"/>
    </row>
    <row r="122" spans="1:20" ht="13.5" thickBot="1" x14ac:dyDescent="0.25">
      <c r="A122" s="141"/>
      <c r="B122" s="141"/>
      <c r="C122" s="141"/>
      <c r="D122" s="141"/>
      <c r="E122" s="141"/>
      <c r="F122" s="141">
        <v>0.96</v>
      </c>
      <c r="G122" s="141"/>
      <c r="H122" s="141">
        <v>0.97853400000000001</v>
      </c>
      <c r="I122" s="141"/>
      <c r="J122" s="141"/>
      <c r="K122" s="141"/>
      <c r="L122" s="141"/>
      <c r="M122" s="141"/>
      <c r="N122" s="141"/>
      <c r="O122" s="141"/>
      <c r="P122" s="141"/>
      <c r="Q122" s="141"/>
      <c r="R122" s="137"/>
      <c r="S122" s="141"/>
      <c r="T122" s="144"/>
    </row>
    <row r="123" spans="1:20" ht="13.5" thickBot="1" x14ac:dyDescent="0.25">
      <c r="A123" s="141"/>
      <c r="B123" s="141"/>
      <c r="C123" s="141"/>
      <c r="D123" s="141"/>
      <c r="E123" s="141"/>
      <c r="F123" s="141">
        <v>0.97</v>
      </c>
      <c r="G123" s="141"/>
      <c r="H123" s="141">
        <v>0.98397999999999997</v>
      </c>
      <c r="I123" s="141"/>
      <c r="J123" s="141"/>
      <c r="K123" s="141"/>
      <c r="L123" s="141"/>
      <c r="M123" s="141"/>
      <c r="N123" s="141"/>
      <c r="O123" s="141"/>
      <c r="P123" s="141"/>
      <c r="Q123" s="141"/>
      <c r="R123" s="137"/>
      <c r="S123" s="141"/>
      <c r="T123" s="144"/>
    </row>
    <row r="124" spans="1:20" ht="13.5" thickBot="1" x14ac:dyDescent="0.25">
      <c r="A124" s="141"/>
      <c r="B124" s="141"/>
      <c r="C124" s="141"/>
      <c r="D124" s="141"/>
      <c r="E124" s="141"/>
      <c r="F124" s="141">
        <v>0.98</v>
      </c>
      <c r="G124" s="141"/>
      <c r="H124" s="141">
        <v>0.98937299999999995</v>
      </c>
      <c r="I124" s="141"/>
      <c r="J124" s="141"/>
      <c r="K124" s="141"/>
      <c r="L124" s="141"/>
      <c r="M124" s="141"/>
      <c r="N124" s="141"/>
      <c r="O124" s="141"/>
      <c r="P124" s="141"/>
      <c r="Q124" s="141"/>
      <c r="R124" s="137"/>
      <c r="S124" s="141"/>
      <c r="T124" s="144"/>
    </row>
    <row r="125" spans="1:20" ht="13.5" thickBot="1" x14ac:dyDescent="0.25">
      <c r="A125" s="141"/>
      <c r="B125" s="141"/>
      <c r="C125" s="141"/>
      <c r="D125" s="141"/>
      <c r="E125" s="141"/>
      <c r="F125" s="141">
        <v>0.99</v>
      </c>
      <c r="G125" s="141"/>
      <c r="H125" s="141">
        <v>0.99471299999999996</v>
      </c>
      <c r="I125" s="141"/>
      <c r="J125" s="141"/>
      <c r="K125" s="141"/>
      <c r="L125" s="141"/>
      <c r="M125" s="141"/>
      <c r="N125" s="141"/>
      <c r="O125" s="141"/>
      <c r="P125" s="141"/>
      <c r="Q125" s="141"/>
      <c r="R125" s="137"/>
      <c r="S125" s="141"/>
      <c r="T125" s="144"/>
    </row>
    <row r="126" spans="1:20" ht="13.5" thickBot="1" x14ac:dyDescent="0.25">
      <c r="A126" s="141"/>
      <c r="B126" s="141"/>
      <c r="C126" s="141"/>
      <c r="D126" s="141"/>
      <c r="E126" s="141"/>
      <c r="F126" s="141">
        <v>1</v>
      </c>
      <c r="G126" s="141"/>
      <c r="H126" s="141">
        <v>1</v>
      </c>
      <c r="I126" s="141"/>
      <c r="J126" s="141"/>
      <c r="K126" s="141"/>
      <c r="L126" s="141"/>
      <c r="M126" s="141"/>
      <c r="N126" s="141"/>
      <c r="O126" s="141"/>
      <c r="P126" s="141"/>
      <c r="Q126" s="141"/>
      <c r="R126" s="137"/>
      <c r="S126" s="141"/>
      <c r="T126" s="144"/>
    </row>
  </sheetData>
  <mergeCells count="20">
    <mergeCell ref="N24:O24"/>
    <mergeCell ref="P24:Q24"/>
    <mergeCell ref="A16:B16"/>
    <mergeCell ref="B24:C24"/>
    <mergeCell ref="F24:G24"/>
    <mergeCell ref="H24:I24"/>
    <mergeCell ref="J24:K24"/>
    <mergeCell ref="L24:M24"/>
    <mergeCell ref="A8:D8"/>
    <mergeCell ref="A9:F9"/>
    <mergeCell ref="A10:D10"/>
    <mergeCell ref="A11:D11"/>
    <mergeCell ref="A14:B14"/>
    <mergeCell ref="A15:B15"/>
    <mergeCell ref="A2:D2"/>
    <mergeCell ref="A3:D3"/>
    <mergeCell ref="A4:C4"/>
    <mergeCell ref="A5:D5"/>
    <mergeCell ref="A6:D6"/>
    <mergeCell ref="A7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Bilan Matière - Solveur</vt:lpstr>
      <vt:lpstr>Bilan Matière - Tableau</vt:lpstr>
      <vt:lpstr>Réacteur - Isotherme</vt:lpstr>
      <vt:lpstr>Réacteur - Echange de Chaleur</vt:lpstr>
      <vt:lpstr>Colonne M&amp;T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Romain Deit</cp:lastModifiedBy>
  <dcterms:modified xsi:type="dcterms:W3CDTF">2026-06-24T14:38:23Z</dcterms:modified>
</cp:coreProperties>
</file>